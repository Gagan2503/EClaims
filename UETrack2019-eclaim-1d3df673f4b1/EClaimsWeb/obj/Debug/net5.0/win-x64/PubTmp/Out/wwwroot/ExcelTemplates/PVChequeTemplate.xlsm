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C4F029EB-14CB-4B1B-90CF-99D668CCB664}" xr6:coauthVersionLast="36" xr6:coauthVersionMax="36" xr10:uidLastSave="{00000000-0000-0000-0000-000000000000}"/>
  <bookViews>
    <workbookView xWindow="0" yWindow="0" windowWidth="20490" windowHeight="8940" xr2:uid="{00000000-000D-0000-FFFF-FFFF00000000}"/>
  </bookViews>
  <sheets>
    <sheet name="PV-Cheque" sheetId="4" r:id="rId1"/>
    <sheet name="Details" sheetId="2" state="hidden" r:id="rId2"/>
  </sheets>
  <definedNames>
    <definedName name="_xlnm._FilterDatabase" localSheetId="1" hidden="1">Details!$G$4:$G$24</definedName>
    <definedName name="Bank_Code_list">Table5[Bank Code]</definedName>
    <definedName name="Bank_Code_pic">OFFSET(Details!$AQ$2,,,COUNTIF(Details!$AQ:$AQ,"?*"))</definedName>
    <definedName name="bankname_list">Table4[Bank Name]</definedName>
    <definedName name="bankname_pic">OFFSET(Details!$AL$2,,,COUNTIF(Details!$AL:$AL,"?*"))</definedName>
    <definedName name="expense_category_list">Table2[Expense Category for Expense, PV Claims]</definedName>
    <definedName name="expense_category_pic">OFFSET(Details!$Y$2,,,COUNTIF(Details!$Y:$Y,"?*"))</definedName>
    <definedName name="Facility_list">Table1[Facility Name]</definedName>
    <definedName name="Facility_pic">OFFSET(Details!$S$2,,,COUNTIF(Details!$S:$S,"?*"))</definedName>
    <definedName name="Payment_list">Table3[Payment Mode]</definedName>
    <definedName name="Payment_pic">OFFSET(Details!$AF$2,,,COUNTIF(Details!$AF:$AF,"?*"))</definedName>
  </definedNames>
  <calcPr calcId="191029"/>
</workbook>
</file>

<file path=xl/calcChain.xml><?xml version="1.0" encoding="utf-8"?>
<calcChain xmlns="http://schemas.openxmlformats.org/spreadsheetml/2006/main">
  <c r="H2" i="4" l="1"/>
  <c r="I2" i="4" s="1"/>
  <c r="W23" i="2" l="1"/>
  <c r="W63" i="2"/>
  <c r="W66" i="2"/>
  <c r="W50" i="2"/>
  <c r="W30" i="2"/>
  <c r="W27" i="2"/>
  <c r="W53" i="2"/>
  <c r="W37" i="2"/>
  <c r="W59" i="2"/>
  <c r="W60" i="2"/>
  <c r="W44" i="2"/>
  <c r="W28" i="2"/>
  <c r="W58" i="2"/>
  <c r="W55" i="2"/>
  <c r="W45" i="2"/>
  <c r="W31" i="2"/>
  <c r="W36" i="2"/>
  <c r="W54" i="2"/>
  <c r="W43" i="2"/>
  <c r="W25" i="2"/>
  <c r="W48" i="2"/>
  <c r="W51" i="2"/>
  <c r="W62" i="2"/>
  <c r="W46" i="2"/>
  <c r="W26" i="2"/>
  <c r="W65" i="2"/>
  <c r="W49" i="2"/>
  <c r="W33" i="2"/>
  <c r="W47" i="2"/>
  <c r="W56" i="2"/>
  <c r="W40" i="2"/>
  <c r="W24" i="2"/>
  <c r="W39" i="2"/>
  <c r="W42" i="2"/>
  <c r="W61" i="2"/>
  <c r="W29" i="2"/>
  <c r="W52" i="2"/>
  <c r="W35" i="2"/>
  <c r="W38" i="2"/>
  <c r="W57" i="2"/>
  <c r="W41" i="2"/>
  <c r="W64" i="2"/>
  <c r="W32" i="2"/>
  <c r="AJ50" i="2"/>
  <c r="AK50" i="2" l="1"/>
  <c r="AJ51" i="2"/>
  <c r="AK51" i="2"/>
  <c r="AO23" i="2"/>
  <c r="AO49" i="2"/>
  <c r="AO9" i="2"/>
  <c r="AO22" i="2"/>
  <c r="AO14" i="2"/>
  <c r="AO32" i="2"/>
  <c r="AO37" i="2"/>
  <c r="AO35" i="2"/>
  <c r="AO43" i="2"/>
  <c r="AO17" i="2"/>
  <c r="AO38" i="2"/>
  <c r="AO24" i="2"/>
  <c r="AO27" i="2"/>
  <c r="AO42" i="2"/>
  <c r="AO19" i="2"/>
  <c r="AO3" i="2"/>
  <c r="AO18" i="2"/>
  <c r="AO25" i="2"/>
  <c r="AO15" i="2"/>
  <c r="AO10" i="2"/>
  <c r="AO31" i="2"/>
  <c r="AO20" i="2"/>
  <c r="AO34" i="2"/>
  <c r="AO4" i="2"/>
  <c r="AO44" i="2"/>
  <c r="AO12" i="2"/>
  <c r="AO11" i="2"/>
  <c r="AO47" i="2"/>
  <c r="AO21" i="2"/>
  <c r="AO5" i="2"/>
  <c r="AO8" i="2"/>
  <c r="AO46" i="2"/>
  <c r="AO30" i="2"/>
  <c r="AO28" i="2"/>
  <c r="AO33" i="2"/>
  <c r="AO40" i="2"/>
  <c r="AO41" i="2"/>
  <c r="AO48" i="2"/>
  <c r="AO45" i="2"/>
  <c r="AO7" i="2"/>
  <c r="AO29" i="2"/>
  <c r="AO16" i="2"/>
  <c r="AO26" i="2"/>
  <c r="AO6" i="2"/>
  <c r="AO13" i="2"/>
  <c r="AO39" i="2"/>
  <c r="AO36" i="2"/>
  <c r="AO2" i="2"/>
  <c r="AP23" i="2" l="1"/>
  <c r="AP49" i="2"/>
  <c r="AP9" i="2"/>
  <c r="AP22" i="2"/>
  <c r="AP14" i="2"/>
  <c r="AP32" i="2"/>
  <c r="AP37" i="2"/>
  <c r="AP35" i="2"/>
  <c r="AP43" i="2"/>
  <c r="AP17" i="2"/>
  <c r="AP38" i="2"/>
  <c r="AP24" i="2"/>
  <c r="AP27" i="2"/>
  <c r="AP42" i="2"/>
  <c r="AP19" i="2"/>
  <c r="AP3" i="2"/>
  <c r="AP18" i="2"/>
  <c r="AP25" i="2"/>
  <c r="AP15" i="2"/>
  <c r="AP10" i="2"/>
  <c r="AP31" i="2"/>
  <c r="AP20" i="2"/>
  <c r="AP34" i="2"/>
  <c r="AP4" i="2"/>
  <c r="AP44" i="2"/>
  <c r="AP12" i="2"/>
  <c r="AP11" i="2"/>
  <c r="AP47" i="2"/>
  <c r="AP21" i="2"/>
  <c r="AP5" i="2"/>
  <c r="AP8" i="2"/>
  <c r="AP46" i="2"/>
  <c r="AP30" i="2"/>
  <c r="AP28" i="2"/>
  <c r="AP33" i="2"/>
  <c r="AP40" i="2"/>
  <c r="AP41" i="2"/>
  <c r="AP48" i="2"/>
  <c r="AP45" i="2"/>
  <c r="AP7" i="2"/>
  <c r="AP29" i="2"/>
  <c r="AP16" i="2"/>
  <c r="AP26" i="2"/>
  <c r="AP6" i="2"/>
  <c r="AP13" i="2"/>
  <c r="AP39" i="2"/>
  <c r="AP36" i="2"/>
  <c r="AP2" i="2"/>
  <c r="AJ30" i="2"/>
  <c r="AQ40" i="2" l="1"/>
  <c r="AQ36" i="2"/>
  <c r="AQ3" i="2"/>
  <c r="AQ30" i="2"/>
  <c r="AQ7" i="2"/>
  <c r="AQ35" i="2"/>
  <c r="AQ39" i="2"/>
  <c r="AQ4" i="2"/>
  <c r="AQ5" i="2"/>
  <c r="AQ14" i="2"/>
  <c r="AQ15" i="2"/>
  <c r="AQ41" i="2"/>
  <c r="AQ34" i="2"/>
  <c r="AQ44" i="2"/>
  <c r="AQ29" i="2"/>
  <c r="AQ13" i="2"/>
  <c r="AQ21" i="2"/>
  <c r="AQ24" i="2"/>
  <c r="AQ47" i="2"/>
  <c r="AQ49" i="2"/>
  <c r="AQ25" i="2"/>
  <c r="AQ38" i="2"/>
  <c r="AQ10" i="2"/>
  <c r="AQ19" i="2"/>
  <c r="AQ2" i="2"/>
  <c r="AQ8" i="2"/>
  <c r="AQ26" i="2"/>
  <c r="AQ18" i="2"/>
  <c r="AQ11" i="2"/>
  <c r="AQ23" i="2"/>
  <c r="AQ16" i="2"/>
  <c r="AQ42" i="2"/>
  <c r="AQ37" i="2"/>
  <c r="AQ20" i="2"/>
  <c r="AQ43" i="2"/>
  <c r="AQ27" i="2"/>
  <c r="AQ12" i="2"/>
  <c r="AQ46" i="2"/>
  <c r="AQ22" i="2"/>
  <c r="AQ33" i="2"/>
  <c r="AQ48" i="2"/>
  <c r="AQ32" i="2"/>
  <c r="AQ31" i="2"/>
  <c r="AQ6" i="2"/>
  <c r="AQ17" i="2"/>
  <c r="AQ45" i="2"/>
  <c r="AQ28" i="2"/>
  <c r="AQ9" i="2"/>
  <c r="AJ13" i="2"/>
  <c r="AJ32" i="2"/>
  <c r="AJ19" i="2"/>
  <c r="AJ5" i="2"/>
  <c r="AJ49" i="2"/>
  <c r="AJ9" i="2"/>
  <c r="AJ12" i="2"/>
  <c r="AJ6" i="2"/>
  <c r="AJ3" i="2"/>
  <c r="AJ11" i="2"/>
  <c r="AJ18" i="2"/>
  <c r="AJ43" i="2"/>
  <c r="AJ21" i="2"/>
  <c r="AJ38" i="2"/>
  <c r="AJ27" i="2"/>
  <c r="AJ25" i="2"/>
  <c r="AJ16" i="2"/>
  <c r="AJ46" i="2"/>
  <c r="AJ48" i="2"/>
  <c r="AJ23" i="2"/>
  <c r="AJ33" i="2"/>
  <c r="AJ36" i="2"/>
  <c r="AJ15" i="2"/>
  <c r="AJ28" i="2"/>
  <c r="AJ39" i="2"/>
  <c r="AJ41" i="2"/>
  <c r="AJ10" i="2"/>
  <c r="AJ22" i="2"/>
  <c r="AJ37" i="2"/>
  <c r="AJ17" i="2"/>
  <c r="AJ34" i="2"/>
  <c r="AJ20" i="2"/>
  <c r="AJ40" i="2"/>
  <c r="AJ29" i="2"/>
  <c r="AJ35" i="2"/>
  <c r="AJ24" i="2"/>
  <c r="AJ14" i="2"/>
  <c r="AJ45" i="2"/>
  <c r="AJ47" i="2"/>
  <c r="AJ42" i="2"/>
  <c r="AJ44" i="2"/>
  <c r="AJ31" i="2"/>
  <c r="AJ8" i="2"/>
  <c r="AJ7" i="2"/>
  <c r="AJ4" i="2"/>
  <c r="AJ26" i="2"/>
  <c r="AJ2" i="2"/>
  <c r="AK30" i="2" l="1"/>
  <c r="AK13" i="2"/>
  <c r="AK32" i="2"/>
  <c r="AK19" i="2"/>
  <c r="AK5" i="2"/>
  <c r="AK49" i="2"/>
  <c r="AK9" i="2"/>
  <c r="AK12" i="2"/>
  <c r="AK6" i="2"/>
  <c r="AK3" i="2"/>
  <c r="AK11" i="2"/>
  <c r="AK18" i="2"/>
  <c r="AK43" i="2"/>
  <c r="AK21" i="2"/>
  <c r="AK38" i="2"/>
  <c r="AK27" i="2"/>
  <c r="AK25" i="2"/>
  <c r="AK16" i="2"/>
  <c r="AK46" i="2"/>
  <c r="AK48" i="2"/>
  <c r="AK23" i="2"/>
  <c r="AK33" i="2"/>
  <c r="AK36" i="2"/>
  <c r="AK15" i="2"/>
  <c r="AK28" i="2"/>
  <c r="AK39" i="2"/>
  <c r="AK41" i="2"/>
  <c r="AK10" i="2"/>
  <c r="AK22" i="2"/>
  <c r="AK37" i="2"/>
  <c r="AK17" i="2"/>
  <c r="AK34" i="2"/>
  <c r="AK20" i="2"/>
  <c r="AK40" i="2"/>
  <c r="AK29" i="2"/>
  <c r="AK35" i="2"/>
  <c r="AK24" i="2"/>
  <c r="AK14" i="2"/>
  <c r="AK45" i="2"/>
  <c r="AK47" i="2"/>
  <c r="AK42" i="2"/>
  <c r="AK44" i="2"/>
  <c r="AK31" i="2"/>
  <c r="AK8" i="2"/>
  <c r="AK7" i="2"/>
  <c r="AK4" i="2"/>
  <c r="AK26" i="2"/>
  <c r="AK2" i="2"/>
  <c r="AD4" i="2"/>
  <c r="AL4" i="2" l="1"/>
  <c r="AL6" i="2"/>
  <c r="AL24" i="2"/>
  <c r="AL10" i="2"/>
  <c r="AL34" i="2"/>
  <c r="AL12" i="2"/>
  <c r="AL22" i="2"/>
  <c r="AL17" i="2"/>
  <c r="AL41" i="2"/>
  <c r="AL9" i="2"/>
  <c r="AL18" i="2"/>
  <c r="AL35" i="2"/>
  <c r="AL32" i="2"/>
  <c r="AL42" i="2"/>
  <c r="AL26" i="2"/>
  <c r="AL11" i="2"/>
  <c r="AL7" i="2"/>
  <c r="AL15" i="2"/>
  <c r="AL48" i="2"/>
  <c r="AL27" i="2"/>
  <c r="AL45" i="2"/>
  <c r="AL2" i="2"/>
  <c r="AL49" i="2"/>
  <c r="AL50" i="2"/>
  <c r="AL3" i="2"/>
  <c r="AL8" i="2"/>
  <c r="AL14" i="2"/>
  <c r="AL38" i="2"/>
  <c r="AL30" i="2"/>
  <c r="AL47" i="2"/>
  <c r="AL16" i="2"/>
  <c r="AL36" i="2"/>
  <c r="AL13" i="2"/>
  <c r="AL44" i="2"/>
  <c r="AL21" i="2"/>
  <c r="AL31" i="2"/>
  <c r="AL37" i="2"/>
  <c r="AL23" i="2"/>
  <c r="AL40" i="2"/>
  <c r="AL43" i="2"/>
  <c r="AL39" i="2"/>
  <c r="AL5" i="2"/>
  <c r="AL29" i="2"/>
  <c r="AL28" i="2"/>
  <c r="AL46" i="2"/>
  <c r="AL20" i="2"/>
  <c r="AL19" i="2"/>
  <c r="AL25" i="2"/>
  <c r="AL33" i="2"/>
  <c r="AL51" i="2"/>
  <c r="AD5" i="2"/>
  <c r="AD6" i="2"/>
  <c r="AD3" i="2"/>
  <c r="AD2" i="2"/>
  <c r="AE4" i="2" l="1"/>
  <c r="AE5" i="2"/>
  <c r="AE6" i="2"/>
  <c r="AE3" i="2"/>
  <c r="AE2" i="2"/>
  <c r="W8" i="2"/>
  <c r="AF3" i="2" l="1"/>
  <c r="AF5" i="2"/>
  <c r="AF4" i="2"/>
  <c r="AF2" i="2"/>
  <c r="AF6" i="2"/>
  <c r="W15" i="2"/>
  <c r="W3" i="2"/>
  <c r="W16" i="2"/>
  <c r="W21" i="2"/>
  <c r="W9" i="2"/>
  <c r="W14" i="2"/>
  <c r="W18" i="2"/>
  <c r="W19" i="2"/>
  <c r="W13" i="2"/>
  <c r="W6" i="2"/>
  <c r="W34" i="2"/>
  <c r="W4" i="2"/>
  <c r="W17" i="2"/>
  <c r="W10" i="2"/>
  <c r="W7" i="2"/>
  <c r="W20" i="2"/>
  <c r="W2" i="2"/>
  <c r="X3" i="2" l="1"/>
  <c r="X4" i="2"/>
  <c r="X2" i="2"/>
  <c r="W11" i="2"/>
  <c r="Y2" i="2" l="1"/>
  <c r="W12" i="2"/>
  <c r="W5" i="2"/>
  <c r="X15" i="2" l="1"/>
  <c r="X9" i="2"/>
  <c r="X13" i="2"/>
  <c r="X17" i="2"/>
  <c r="X14" i="2"/>
  <c r="X6" i="2"/>
  <c r="X10" i="2"/>
  <c r="X16" i="2"/>
  <c r="X18" i="2"/>
  <c r="X7" i="2"/>
  <c r="X8" i="2"/>
  <c r="X21" i="2"/>
  <c r="X19" i="2"/>
  <c r="X20" i="2"/>
  <c r="X11" i="2"/>
  <c r="X12" i="2"/>
  <c r="X5" i="2"/>
  <c r="Q12" i="2" l="1"/>
  <c r="Q11" i="2" l="1"/>
  <c r="Q94" i="2"/>
  <c r="Q118" i="2"/>
  <c r="Q104" i="2"/>
  <c r="Q32" i="2"/>
  <c r="Q64" i="2"/>
  <c r="Q111" i="2"/>
  <c r="Q20" i="2"/>
  <c r="Q57" i="2"/>
  <c r="Q122" i="2"/>
  <c r="Q117" i="2"/>
  <c r="Q60" i="2"/>
  <c r="Q123" i="2"/>
  <c r="Q90" i="2"/>
  <c r="Q62" i="2"/>
  <c r="Q82" i="2"/>
  <c r="Q73" i="2"/>
  <c r="Q16" i="2"/>
  <c r="Q25" i="2"/>
  <c r="Q83" i="2"/>
  <c r="Q126" i="2"/>
  <c r="Q75" i="2"/>
  <c r="Q26" i="2"/>
  <c r="Q96" i="2"/>
  <c r="Q53" i="2"/>
  <c r="Q125" i="2"/>
  <c r="Q72" i="2"/>
  <c r="Q114" i="2"/>
  <c r="Q121" i="2"/>
  <c r="Q76" i="2"/>
  <c r="Q29" i="2"/>
  <c r="Q19" i="2"/>
  <c r="Q70" i="2"/>
  <c r="Q91" i="2"/>
  <c r="Q31" i="2"/>
  <c r="Q49" i="2"/>
  <c r="Q35" i="2"/>
  <c r="Q120" i="2"/>
  <c r="Q93" i="2"/>
  <c r="Q77" i="2"/>
  <c r="Q95" i="2"/>
  <c r="Q92" i="2"/>
  <c r="Q28" i="2"/>
  <c r="Q21" i="2"/>
  <c r="Q113" i="2"/>
  <c r="Q88" i="2"/>
  <c r="Q105" i="2"/>
  <c r="Q81" i="2"/>
  <c r="Q68" i="2"/>
  <c r="Q56" i="2"/>
  <c r="Q84" i="2"/>
  <c r="Q13" i="2"/>
  <c r="Q44" i="2"/>
  <c r="Q46" i="2"/>
  <c r="Q85" i="2"/>
  <c r="Q101" i="2"/>
  <c r="Q47" i="2"/>
  <c r="Q119" i="2"/>
  <c r="Q59" i="2"/>
  <c r="Q108" i="2"/>
  <c r="Q109" i="2"/>
  <c r="Q74" i="2"/>
  <c r="Q10" i="2"/>
  <c r="Q69" i="2"/>
  <c r="Q112" i="2"/>
  <c r="Q86" i="2"/>
  <c r="Q41" i="2"/>
  <c r="Q89" i="2"/>
  <c r="Q103" i="2"/>
  <c r="Q14" i="2"/>
  <c r="Q51" i="2"/>
  <c r="Q15" i="2"/>
  <c r="Q45" i="2"/>
  <c r="Q39" i="2"/>
  <c r="Q99" i="2"/>
  <c r="Q18" i="2"/>
  <c r="Q124" i="2"/>
  <c r="Q67" i="2"/>
  <c r="Q9" i="2"/>
  <c r="Q115" i="2"/>
  <c r="Q24" i="2"/>
  <c r="Q33" i="2"/>
  <c r="Q61" i="2"/>
  <c r="Q8" i="2"/>
  <c r="Q7" i="2"/>
  <c r="Q116" i="2"/>
  <c r="Q6" i="2"/>
  <c r="Q38" i="2"/>
  <c r="Q107" i="2"/>
  <c r="Q34" i="2"/>
  <c r="Q48" i="2"/>
  <c r="Q100" i="2"/>
  <c r="Q27" i="2"/>
  <c r="Q98" i="2"/>
  <c r="Q30" i="2"/>
  <c r="Q58" i="2"/>
  <c r="Q37" i="2"/>
  <c r="Q78" i="2"/>
  <c r="Q87" i="2"/>
  <c r="Q54" i="2"/>
  <c r="Q97" i="2"/>
  <c r="Q22" i="2"/>
  <c r="Q102" i="2"/>
  <c r="Q17" i="2"/>
  <c r="Q66" i="2"/>
  <c r="Q43" i="2"/>
  <c r="Q3" i="2"/>
  <c r="Q40" i="2"/>
  <c r="Q52" i="2"/>
  <c r="Q36" i="2"/>
  <c r="Q23" i="2"/>
  <c r="Q42" i="2"/>
  <c r="Q50" i="2"/>
  <c r="Q127" i="2"/>
  <c r="Q63" i="2"/>
  <c r="Q71" i="2"/>
  <c r="Q106" i="2"/>
  <c r="Q4" i="2"/>
  <c r="Q110" i="2"/>
  <c r="Q65" i="2"/>
  <c r="Q80" i="2"/>
  <c r="Q79" i="2"/>
  <c r="Q55" i="2"/>
  <c r="Q5" i="2"/>
  <c r="Q2" i="2"/>
  <c r="R12" i="2" l="1"/>
  <c r="R11" i="2"/>
  <c r="R94" i="2"/>
  <c r="R118" i="2"/>
  <c r="R104" i="2"/>
  <c r="R32" i="2"/>
  <c r="R64" i="2"/>
  <c r="R111" i="2"/>
  <c r="R20" i="2"/>
  <c r="R57" i="2"/>
  <c r="R122" i="2"/>
  <c r="R117" i="2"/>
  <c r="R60" i="2"/>
  <c r="R123" i="2"/>
  <c r="R90" i="2"/>
  <c r="R62" i="2"/>
  <c r="R82" i="2"/>
  <c r="R73" i="2"/>
  <c r="R16" i="2"/>
  <c r="R25" i="2"/>
  <c r="R83" i="2"/>
  <c r="R126" i="2"/>
  <c r="R75" i="2"/>
  <c r="R26" i="2"/>
  <c r="R96" i="2"/>
  <c r="R53" i="2"/>
  <c r="R125" i="2"/>
  <c r="R72" i="2"/>
  <c r="R114" i="2"/>
  <c r="R121" i="2"/>
  <c r="R76" i="2"/>
  <c r="R29" i="2"/>
  <c r="R19" i="2"/>
  <c r="R70" i="2"/>
  <c r="R91" i="2"/>
  <c r="R31" i="2"/>
  <c r="R49" i="2"/>
  <c r="R35" i="2"/>
  <c r="R120" i="2"/>
  <c r="R93" i="2"/>
  <c r="R77" i="2"/>
  <c r="R95" i="2"/>
  <c r="R92" i="2"/>
  <c r="R28" i="2"/>
  <c r="R21" i="2"/>
  <c r="R113" i="2"/>
  <c r="R88" i="2"/>
  <c r="R105" i="2"/>
  <c r="R81" i="2"/>
  <c r="R68" i="2"/>
  <c r="R56" i="2"/>
  <c r="R84" i="2"/>
  <c r="R13" i="2"/>
  <c r="R44" i="2"/>
  <c r="R46" i="2"/>
  <c r="R85" i="2"/>
  <c r="R101" i="2"/>
  <c r="R47" i="2"/>
  <c r="R119" i="2"/>
  <c r="R59" i="2"/>
  <c r="R108" i="2"/>
  <c r="R109" i="2"/>
  <c r="R74" i="2"/>
  <c r="R10" i="2"/>
  <c r="R69" i="2"/>
  <c r="R112" i="2"/>
  <c r="R86" i="2"/>
  <c r="R41" i="2"/>
  <c r="R89" i="2"/>
  <c r="R103" i="2"/>
  <c r="R14" i="2"/>
  <c r="R51" i="2"/>
  <c r="R15" i="2"/>
  <c r="R45" i="2"/>
  <c r="R39" i="2"/>
  <c r="R99" i="2"/>
  <c r="R18" i="2"/>
  <c r="R124" i="2"/>
  <c r="R67" i="2"/>
  <c r="R9" i="2"/>
  <c r="R115" i="2"/>
  <c r="R24" i="2"/>
  <c r="R33" i="2"/>
  <c r="R61" i="2"/>
  <c r="R8" i="2"/>
  <c r="R7" i="2"/>
  <c r="R116" i="2"/>
  <c r="R6" i="2"/>
  <c r="R38" i="2"/>
  <c r="R107" i="2"/>
  <c r="R34" i="2"/>
  <c r="R48" i="2"/>
  <c r="R100" i="2"/>
  <c r="R27" i="2"/>
  <c r="R98" i="2"/>
  <c r="R30" i="2"/>
  <c r="R58" i="2"/>
  <c r="R37" i="2"/>
  <c r="R78" i="2"/>
  <c r="R87" i="2"/>
  <c r="R54" i="2"/>
  <c r="R97" i="2"/>
  <c r="R22" i="2"/>
  <c r="R102" i="2"/>
  <c r="R17" i="2"/>
  <c r="R66" i="2"/>
  <c r="R43" i="2"/>
  <c r="R3" i="2"/>
  <c r="R40" i="2"/>
  <c r="R52" i="2"/>
  <c r="R36" i="2"/>
  <c r="R23" i="2"/>
  <c r="R42" i="2"/>
  <c r="R50" i="2"/>
  <c r="R127" i="2"/>
  <c r="R63" i="2"/>
  <c r="R71" i="2"/>
  <c r="R106" i="2"/>
  <c r="R4" i="2"/>
  <c r="R110" i="2"/>
  <c r="R65" i="2"/>
  <c r="R80" i="2"/>
  <c r="R79" i="2"/>
  <c r="R55" i="2"/>
  <c r="R5" i="2"/>
  <c r="R2" i="2"/>
  <c r="S112" i="2" l="1"/>
  <c r="S5" i="2"/>
  <c r="S10" i="2"/>
  <c r="S76" i="2"/>
  <c r="S47" i="2"/>
  <c r="S84" i="2"/>
  <c r="S117" i="2"/>
  <c r="S70" i="2"/>
  <c r="S104" i="2"/>
  <c r="S94" i="2"/>
  <c r="S100" i="2"/>
  <c r="S69" i="2"/>
  <c r="S87" i="2"/>
  <c r="S62" i="2"/>
  <c r="S27" i="2"/>
  <c r="S65" i="2"/>
  <c r="S48" i="2"/>
  <c r="S51" i="2"/>
  <c r="S41" i="2"/>
  <c r="S86" i="2"/>
  <c r="S13" i="2"/>
  <c r="S68" i="2"/>
  <c r="S8" i="2"/>
  <c r="S59" i="2"/>
  <c r="S20" i="2"/>
  <c r="S61" i="2"/>
  <c r="S88" i="2"/>
  <c r="S97" i="2"/>
  <c r="S114" i="2"/>
  <c r="S95" i="2"/>
  <c r="S29" i="2"/>
  <c r="S93" i="2"/>
  <c r="S73" i="2"/>
  <c r="S108" i="2"/>
  <c r="S79" i="2"/>
  <c r="S49" i="2"/>
  <c r="S113" i="2"/>
  <c r="S23" i="2"/>
  <c r="S85" i="2"/>
  <c r="S4" i="2"/>
  <c r="S115" i="2"/>
  <c r="S37" i="2"/>
  <c r="S42" i="2"/>
  <c r="S6" i="2"/>
  <c r="S60" i="2"/>
  <c r="S107" i="2"/>
  <c r="S101" i="2"/>
  <c r="S92" i="2"/>
  <c r="S17" i="2"/>
  <c r="S127" i="2"/>
  <c r="S83" i="2"/>
  <c r="S9" i="2"/>
  <c r="S91" i="2"/>
  <c r="S33" i="2"/>
  <c r="S14" i="2"/>
  <c r="S53" i="2"/>
  <c r="S71" i="2"/>
  <c r="S89" i="2"/>
  <c r="S45" i="2"/>
  <c r="S106" i="2"/>
  <c r="S26" i="2"/>
  <c r="S63" i="2"/>
  <c r="S98" i="2"/>
  <c r="S11" i="2"/>
  <c r="S54" i="2"/>
  <c r="S24" i="2"/>
  <c r="S126" i="2"/>
  <c r="S80" i="2"/>
  <c r="S34" i="2"/>
  <c r="S90" i="2"/>
  <c r="S64" i="2"/>
  <c r="S12" i="2"/>
  <c r="S123" i="2"/>
  <c r="S77" i="2"/>
  <c r="S122" i="2"/>
  <c r="S50" i="2"/>
  <c r="S96" i="2"/>
  <c r="S99" i="2"/>
  <c r="S119" i="2"/>
  <c r="S36" i="2"/>
  <c r="S52" i="2"/>
  <c r="S39" i="2"/>
  <c r="S31" i="2"/>
  <c r="S103" i="2"/>
  <c r="S72" i="2"/>
  <c r="S125" i="2"/>
  <c r="S102" i="2"/>
  <c r="S35" i="2"/>
  <c r="S40" i="2"/>
  <c r="S110" i="2"/>
  <c r="S58" i="2"/>
  <c r="S18" i="2"/>
  <c r="S82" i="2"/>
  <c r="S120" i="2"/>
  <c r="S121" i="2"/>
  <c r="S43" i="2"/>
  <c r="S32" i="2"/>
  <c r="S21" i="2"/>
  <c r="S7" i="2"/>
  <c r="S28" i="2"/>
  <c r="S22" i="2"/>
  <c r="S111" i="2"/>
  <c r="S116" i="2"/>
  <c r="S3" i="2"/>
  <c r="S38" i="2"/>
  <c r="S16" i="2"/>
  <c r="S66" i="2"/>
  <c r="S74" i="2"/>
  <c r="S109" i="2"/>
  <c r="S30" i="2"/>
  <c r="S118" i="2"/>
  <c r="S55" i="2"/>
  <c r="S78" i="2"/>
  <c r="S44" i="2"/>
  <c r="S105" i="2"/>
  <c r="S15" i="2"/>
  <c r="S19" i="2"/>
  <c r="S75" i="2"/>
  <c r="S2" i="2"/>
  <c r="S81" i="2"/>
  <c r="S25" i="2"/>
  <c r="S67" i="2"/>
  <c r="S57" i="2"/>
  <c r="S56" i="2"/>
  <c r="S124" i="2"/>
  <c r="S46" i="2"/>
  <c r="W22" i="2" l="1"/>
  <c r="X23" i="2" l="1"/>
  <c r="X36" i="2"/>
  <c r="X39" i="2"/>
  <c r="X27" i="2"/>
  <c r="X51" i="2"/>
  <c r="X35" i="2"/>
  <c r="X45" i="2"/>
  <c r="X40" i="2"/>
  <c r="X50" i="2"/>
  <c r="X25" i="2"/>
  <c r="X29" i="2"/>
  <c r="X30" i="2"/>
  <c r="X48" i="2"/>
  <c r="X52" i="2"/>
  <c r="X60" i="2"/>
  <c r="X65" i="2"/>
  <c r="X64" i="2"/>
  <c r="X66" i="2"/>
  <c r="X43" i="2"/>
  <c r="X61" i="2"/>
  <c r="X37" i="2"/>
  <c r="X46" i="2"/>
  <c r="X57" i="2"/>
  <c r="X59" i="2"/>
  <c r="X26" i="2"/>
  <c r="X41" i="2"/>
  <c r="X55" i="2"/>
  <c r="X56" i="2"/>
  <c r="X53" i="2"/>
  <c r="X62" i="2"/>
  <c r="X38" i="2"/>
  <c r="X34" i="2"/>
  <c r="X28" i="2"/>
  <c r="X33" i="2"/>
  <c r="X58" i="2"/>
  <c r="X47" i="2"/>
  <c r="X63" i="2"/>
  <c r="X54" i="2"/>
  <c r="X42" i="2"/>
  <c r="X44" i="2"/>
  <c r="X49" i="2"/>
  <c r="X32" i="2"/>
  <c r="X31" i="2"/>
  <c r="X24" i="2"/>
  <c r="X22" i="2"/>
  <c r="Y16" i="2" l="1"/>
  <c r="Y14" i="2"/>
  <c r="Y12" i="2"/>
  <c r="Y7" i="2"/>
  <c r="Y13" i="2"/>
  <c r="Y6" i="2"/>
  <c r="Y21" i="2"/>
  <c r="Y11" i="2"/>
  <c r="Y20" i="2"/>
  <c r="Y3" i="2"/>
  <c r="Y17" i="2"/>
  <c r="Y15" i="2"/>
  <c r="Y9" i="2"/>
  <c r="Y18" i="2"/>
  <c r="Y4" i="2"/>
  <c r="Y8" i="2"/>
  <c r="Y5" i="2"/>
  <c r="Y19" i="2"/>
  <c r="Y10" i="2"/>
  <c r="Y35" i="2"/>
  <c r="Y52" i="2"/>
  <c r="Y27" i="2"/>
  <c r="Y22" i="2"/>
  <c r="Y55" i="2"/>
  <c r="Y61" i="2"/>
  <c r="Y43" i="2"/>
  <c r="Y32" i="2"/>
  <c r="Y54" i="2"/>
  <c r="Y36" i="2"/>
  <c r="Y47" i="2"/>
  <c r="Y37" i="2"/>
  <c r="Y45" i="2"/>
  <c r="Y66" i="2"/>
  <c r="Y65" i="2"/>
  <c r="Y60" i="2"/>
  <c r="Y39" i="2"/>
  <c r="Y62" i="2"/>
  <c r="Y46" i="2"/>
  <c r="Y28" i="2"/>
  <c r="Y34" i="2"/>
  <c r="Y50" i="2"/>
  <c r="Y29" i="2"/>
  <c r="Y30" i="2"/>
  <c r="Y53" i="2"/>
  <c r="Y49" i="2"/>
  <c r="Y26" i="2"/>
  <c r="Y63" i="2"/>
  <c r="Y25" i="2"/>
  <c r="Y57" i="2"/>
  <c r="Y44" i="2"/>
  <c r="Y48" i="2"/>
  <c r="Y40" i="2"/>
  <c r="Y23" i="2"/>
  <c r="Y59" i="2"/>
  <c r="Y41" i="2"/>
  <c r="Y56" i="2"/>
  <c r="Y38" i="2"/>
  <c r="Y51" i="2"/>
  <c r="Y31" i="2"/>
  <c r="Y42" i="2"/>
  <c r="Y58" i="2"/>
  <c r="Y24" i="2"/>
  <c r="Y64" i="2"/>
  <c r="Y33" i="2"/>
</calcChain>
</file>

<file path=xl/sharedStrings.xml><?xml version="1.0" encoding="utf-8"?>
<sst xmlns="http://schemas.openxmlformats.org/spreadsheetml/2006/main" count="540" uniqueCount="276">
  <si>
    <t>Claimid</t>
  </si>
  <si>
    <t>Facility</t>
  </si>
  <si>
    <t>Particulars of payment</t>
  </si>
  <si>
    <t>Payee Name</t>
  </si>
  <si>
    <t>Expense Category</t>
  </si>
  <si>
    <t>Amount</t>
  </si>
  <si>
    <t>GST</t>
  </si>
  <si>
    <t>Total Amount with GST</t>
  </si>
  <si>
    <t>Claim Type</t>
  </si>
  <si>
    <t>Travel Mode</t>
  </si>
  <si>
    <t>Expense Category for Telephone bill</t>
  </si>
  <si>
    <t>Expense Category for Expense, PV Claims</t>
  </si>
  <si>
    <t>Payment Mode</t>
  </si>
  <si>
    <t>Bank Name</t>
  </si>
  <si>
    <t>Bank Code</t>
  </si>
  <si>
    <t>User Role</t>
  </si>
  <si>
    <t>Facility Name</t>
  </si>
  <si>
    <t>Expense</t>
  </si>
  <si>
    <t>Private Car</t>
  </si>
  <si>
    <t>AH HSK</t>
  </si>
  <si>
    <t>Telecommunication charges</t>
  </si>
  <si>
    <t>Accomodation SHN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</si>
  <si>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</si>
  <si>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</si>
  <si>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</si>
  <si>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</si>
  <si>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</si>
  <si>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</si>
  <si>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Contract Labour</t>
  </si>
  <si>
    <t>PayNow</t>
  </si>
  <si>
    <t>Bangkok Bank Public Company Limited</t>
  </si>
  <si>
    <t>HR</t>
  </si>
  <si>
    <t>AH UET</t>
  </si>
  <si>
    <t>Donations</t>
  </si>
  <si>
    <t>GIRO</t>
  </si>
  <si>
    <t>Bank Of America, N.A.</t>
  </si>
  <si>
    <t>User</t>
  </si>
  <si>
    <t>AIS</t>
  </si>
  <si>
    <t>TT</t>
  </si>
  <si>
    <t>Bank Of China Limited</t>
  </si>
  <si>
    <t>AMARA SC</t>
  </si>
  <si>
    <t>Employee Recreation Welfare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</si>
  <si>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</si>
  <si>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</si>
  <si>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</si>
  <si>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</si>
  <si>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</si>
  <si>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</si>
  <si>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</si>
  <si>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</si>
  <si>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</si>
  <si>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</si>
  <si>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</si>
  <si>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</si>
  <si>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</si>
  <si>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</si>
  <si>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</si>
  <si>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</si>
  <si>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</si>
  <si>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</si>
  <si>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</si>
  <si>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</si>
  <si>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</si>
  <si>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</si>
  <si>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</si>
  <si>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</si>
  <si>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</si>
  <si>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</si>
  <si>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DBS Bank Limited</t>
  </si>
  <si>
    <t>Deutsche Bank AG</t>
  </si>
  <si>
    <t>FLOAT TEAM</t>
  </si>
  <si>
    <t>Tendering expenses</t>
  </si>
  <si>
    <t>DNB Bank ASA</t>
  </si>
  <si>
    <t>FM Float Team</t>
  </si>
  <si>
    <t>First Commercial Bank</t>
  </si>
  <si>
    <t>FM MA</t>
  </si>
  <si>
    <t>Travelling expenses - local transport</t>
  </si>
  <si>
    <t>HL Bank</t>
  </si>
  <si>
    <t>General</t>
  </si>
  <si>
    <t>Hongkong And Shanghai Banking Corporation Limited (Corporate)</t>
  </si>
  <si>
    <t>GSP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</si>
  <si>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</si>
  <si>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</si>
  <si>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</si>
  <si>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</si>
  <si>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</si>
  <si>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</si>
  <si>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</si>
  <si>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</si>
  <si>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</si>
  <si>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</si>
  <si>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</si>
  <si>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</si>
  <si>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</si>
  <si>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</si>
  <si>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</si>
  <si>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</si>
  <si>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</si>
  <si>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</si>
  <si>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</si>
  <si>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</si>
  <si>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</si>
  <si>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</si>
  <si>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</si>
  <si>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</si>
  <si>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</si>
  <si>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</si>
  <si>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</si>
  <si>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</si>
  <si>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</si>
  <si>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</si>
  <si>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</si>
  <si>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</si>
  <si>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</si>
  <si>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</si>
  <si>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</si>
  <si>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</si>
  <si>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</si>
  <si>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</si>
  <si>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</si>
  <si>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</si>
  <si>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</si>
  <si>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</si>
  <si>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</si>
  <si>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</si>
  <si>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</si>
  <si>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</si>
  <si>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</si>
  <si>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</si>
  <si>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</si>
  <si>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</si>
  <si>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</si>
  <si>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</si>
  <si>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</si>
  <si>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</si>
  <si>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</si>
  <si>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</si>
  <si>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</si>
  <si>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</si>
  <si>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</si>
  <si>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</si>
  <si>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</si>
  <si>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</si>
  <si>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</si>
  <si>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</si>
  <si>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</si>
  <si>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</si>
  <si>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</si>
  <si>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</si>
  <si>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</si>
  <si>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</si>
  <si>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</si>
  <si>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</si>
  <si>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</si>
  <si>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</si>
  <si>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</si>
  <si>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</si>
  <si>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</si>
  <si>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</si>
  <si>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</si>
  <si>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</si>
  <si>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</si>
  <si>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</si>
  <si>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</si>
  <si>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</si>
  <si>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Durables - new fixed assets &lt; $2,000</t>
  </si>
  <si>
    <t>Training &amp; Education</t>
  </si>
  <si>
    <t>Travelling expenses - private vehicle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</si>
  <si>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</si>
  <si>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</si>
  <si>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</si>
  <si>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</si>
  <si>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</si>
  <si>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</si>
  <si>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</si>
  <si>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</si>
  <si>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</si>
  <si>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</si>
  <si>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</si>
  <si>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</si>
  <si>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</si>
  <si>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</si>
  <si>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</si>
  <si>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</si>
  <si>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</si>
  <si>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</si>
  <si>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HQ - Employee Recreation Welfare</t>
  </si>
  <si>
    <t>Accomodation</t>
  </si>
  <si>
    <t>COS_Material/Services</t>
  </si>
  <si>
    <t>HQ HEALTHCARE</t>
  </si>
  <si>
    <t>HQ NON-HEALTHCARE</t>
  </si>
  <si>
    <t>BD AND MARKETING</t>
  </si>
  <si>
    <t>Printing &amp; Stationary, Newspaper</t>
  </si>
  <si>
    <t>GSTPercentage</t>
  </si>
  <si>
    <t>GST %</t>
  </si>
  <si>
    <t>Search</t>
  </si>
  <si>
    <t>Number</t>
  </si>
  <si>
    <t>Filter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</si>
  <si>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</si>
  <si>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</si>
  <si>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</si>
  <si>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</si>
  <si>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</si>
  <si>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</si>
  <si>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</si>
  <si>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</si>
  <si>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</si>
  <si>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</si>
  <si>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</si>
  <si>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</si>
  <si>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</si>
  <si>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</si>
  <si>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</si>
  <si>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</si>
  <si>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</si>
  <si>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</si>
  <si>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</si>
  <si>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</si>
  <si>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</si>
  <si>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</si>
  <si>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</si>
  <si>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</si>
  <si>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</si>
  <si>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</si>
  <si>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</si>
  <si>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</si>
  <si>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</si>
  <si>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</si>
  <si>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</si>
  <si>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</si>
  <si>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</si>
  <si>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</si>
  <si>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</si>
  <si>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</si>
  <si>
    <t xml:space="preserve">Durables - new fixed assets &lt; $2,000 </t>
  </si>
  <si>
    <t>Printing &amp; stationery</t>
  </si>
  <si>
    <t>Supplies</t>
  </si>
  <si>
    <t>Training &amp; Educatoin</t>
  </si>
  <si>
    <t xml:space="preserve">Travelling expenses - private vehicle </t>
  </si>
  <si>
    <t>Travelling Private Car</t>
  </si>
  <si>
    <t>HQ - Medical</t>
  </si>
  <si>
    <t>HQ - Recruitment</t>
  </si>
  <si>
    <t>HQ - Training &amp; Education</t>
  </si>
  <si>
    <t>HQ -Uniforms</t>
  </si>
  <si>
    <t>DIVIDEND APPROPRIATION</t>
  </si>
  <si>
    <t>Employee Recretion Welfare-HSHC</t>
  </si>
  <si>
    <t>INPUT TAX(GST)</t>
  </si>
  <si>
    <t>PREPAYMENT</t>
  </si>
  <si>
    <t>TENDER DEPOSITS</t>
  </si>
  <si>
    <t>OTHER DEPOSIT</t>
  </si>
  <si>
    <t>MEDICAL ART/SWAB TEST</t>
  </si>
  <si>
    <t>HQ_MEDICAL/ART/SWAB TEST</t>
  </si>
  <si>
    <t>PETTY CASH A/C-UEMS</t>
  </si>
  <si>
    <t>COS-TRAINING &amp; EDUCATION EXP WSQ</t>
  </si>
  <si>
    <t>PAYROLL CONTROL ACCOUNT</t>
  </si>
  <si>
    <t>HQ-UNIFORM</t>
  </si>
  <si>
    <t>ADVERTISING &amp; PROMOTIONS</t>
  </si>
  <si>
    <t>LEGAL FEES</t>
  </si>
  <si>
    <t>MISCELLANEOUS VARIABLE COSTS</t>
  </si>
  <si>
    <t>TEL CHARGES-ALLOWANCE</t>
  </si>
  <si>
    <t>Telecommunication charges.</t>
  </si>
  <si>
    <t>ACCOMODATION HDB</t>
  </si>
  <si>
    <t>ACCOMODATION CO LIVING &amp; OTHERS</t>
  </si>
  <si>
    <t>Insurance Others-Industral Risk</t>
  </si>
  <si>
    <t>INS - OTHERS</t>
  </si>
  <si>
    <t>WORKMEN COMP</t>
  </si>
  <si>
    <t>LICENCE FEE</t>
  </si>
  <si>
    <t>RENT - OE, P&amp;M KKH</t>
  </si>
  <si>
    <t>HQ - OFFICE/WAREHOUSE RENT - EXTERNAL</t>
  </si>
  <si>
    <t>REPAIRS &amp; MAINTENANCE - OTHERS</t>
  </si>
  <si>
    <t>RENTAL DEPOSIT</t>
  </si>
  <si>
    <t>TRAVELLING EXPENSES - OVERSEAS</t>
  </si>
  <si>
    <t>SCB 7144-001-0106345397</t>
  </si>
  <si>
    <t>UOB 451-303-920-9 (UEMS)</t>
  </si>
  <si>
    <t>CIMB 200-050-088-7 (UEMS)</t>
  </si>
  <si>
    <t>CITI 0-006630-006 (UEMS)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</si>
</sst>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809]#,##0.00"/>
  </numFmts>
  <fonts count="9">
    <font>
      <sz val="10"/>
      <color rgb="FF000000"/>
      <name val="Arial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1C273C"/>
      <name val="Roboto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E3E7ED"/>
      </right>
      <top style="medium">
        <color rgb="FFE3E7ED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3" borderId="1" xfId="0" applyFont="1" applyFill="1" applyBorder="1"/>
    <xf numFmtId="0" fontId="1" fillId="0" borderId="1" xfId="0" applyFont="1" applyBorder="1"/>
    <xf numFmtId="0" fontId="2" fillId="0" borderId="0" xfId="0" applyFont="1"/>
    <xf numFmtId="0" fontId="3" fillId="4" borderId="1" xfId="0" applyFont="1" applyFill="1" applyBorder="1"/>
    <xf numFmtId="0" fontId="3" fillId="0" borderId="1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/>
    <xf numFmtId="0" fontId="3" fillId="0" borderId="1" xfId="0" applyFont="1" applyBorder="1"/>
    <xf numFmtId="0" fontId="3" fillId="4" borderId="1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0" borderId="0" xfId="0" applyFont="1"/>
    <xf numFmtId="164" fontId="6" fillId="0" borderId="0" xfId="0" applyNumberFormat="1" applyFont="1"/>
    <xf numFmtId="0" fontId="7" fillId="0" borderId="1" xfId="0" applyFont="1" applyBorder="1" applyAlignment="1">
      <alignment horizontal="left"/>
    </xf>
    <xf numFmtId="2" fontId="1" fillId="0" borderId="0" xfId="0" applyNumberFormat="1" applyFont="1"/>
    <xf numFmtId="0" fontId="1" fillId="3" borderId="2" xfId="0" applyFont="1" applyFill="1" applyBorder="1"/>
    <xf numFmtId="0" fontId="1" fillId="3" borderId="3" xfId="0" applyFont="1" applyFill="1" applyBorder="1"/>
    <xf numFmtId="0" fontId="1" fillId="0" borderId="5" xfId="0" applyFont="1" applyBorder="1"/>
    <xf numFmtId="0" fontId="1" fillId="0" borderId="4" xfId="0" applyFont="1" applyBorder="1"/>
    <xf numFmtId="0" fontId="1" fillId="0" borderId="3" xfId="0" applyFont="1" applyBorder="1"/>
    <xf numFmtId="0" fontId="3" fillId="0" borderId="2" xfId="0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1" fillId="0" borderId="0" xfId="0" applyNumberFormat="1" applyFont="1"/>
    <xf numFmtId="0" fontId="1" fillId="0" borderId="1" xfId="0" applyFont="1" applyBorder="1" applyAlignment="1">
      <alignment wrapText="1"/>
    </xf>
    <xf numFmtId="0" fontId="1" fillId="4" borderId="1" xfId="0" applyFont="1" applyFill="1" applyBorder="1"/>
    <xf numFmtId="0" fontId="1" fillId="4" borderId="1" xfId="0" applyFont="1" applyFill="1" applyBorder="1" applyAlignment="1">
      <alignment wrapText="1"/>
    </xf>
    <xf numFmtId="0" fontId="8" fillId="0" borderId="7" xfId="0" applyFont="1" applyBorder="1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FFFFFF"/>
          <bgColor rgb="FFFFFFFF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DDFAB6-DDC1-467C-9B2B-ECA183F887B6}" name="Table1" displayName="Table1" ref="P1:S127" totalsRowShown="0" headerRowDxfId="80" dataDxfId="79">
  <autoFilter ref="P1:S127" xr:uid="{2AAB82A1-E588-406E-9A9F-06578042960D}"/>
  <tableColumns count="4">
    <tableColumn id="1" xr3:uid="{B875AB96-46C4-449D-BD4D-7612FC1A2B04}" name="Facility Name" dataDxfId="47"/>
    <tableColumn id="2" xr3:uid="{6C88A07D-8E25-4302-8507-4FBB58945E04}" name="Search" dataDxfId="78">
      <calculatedColumnFormula>IF(ISERROR(SEARCH(INDIRECT(CELL("address")),P2:P127)),0,1)</calculatedColumnFormula>
    </tableColumn>
    <tableColumn id="3" xr3:uid="{7BAE91D2-DE41-4AFF-A94B-187BACEAC575}" name="Number" dataDxfId="77">
      <calculatedColumnFormula>IF(Q2=0,"",COUNTIF($Q$2:Q2,1))</calculatedColumnFormula>
    </tableColumn>
    <tableColumn id="4" xr3:uid="{EAD7EC4C-5DC5-43A4-AE3B-994286D60079}" name="Filter" dataDxfId="76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7D226B-AD5B-43B5-B290-322EFD19EB5C}" name="Table2" displayName="Table2" ref="V1:Y66" totalsRowShown="0" headerRowDxfId="75" headerRowBorderDxfId="74" tableBorderDxfId="73">
  <autoFilter ref="V1:Y66" xr:uid="{419ABDB9-6E67-4C7D-A7A5-C2BBFEE46050}"/>
  <tableColumns count="4">
    <tableColumn id="1" xr3:uid="{98C9B4CD-0D8C-41FF-9AE1-73CA626F4A5B}" name="Expense Category for Expense, PV Claims" dataDxfId="0"/>
    <tableColumn id="2" xr3:uid="{85BB8C02-6F7F-4246-85C1-06E5E86B2F8A}" name="search" dataDxfId="72">
      <calculatedColumnFormula>IF(ISERROR(SEARCH(INDIRECT(CELL("address")),V2:V158)),0,1)</calculatedColumnFormula>
    </tableColumn>
    <tableColumn id="3" xr3:uid="{E56599C5-6313-4557-9F7F-D21C83633B4C}" name="number" dataDxfId="71">
      <calculatedColumnFormula>IF(W2=0,"",COUNTIF($W$2:W2,1))</calculatedColumnFormula>
    </tableColumn>
    <tableColumn id="4" xr3:uid="{EB69AAD4-C8C3-4EB2-B99E-51C0047C412A}" name="filter" dataDxfId="70">
      <calculatedColumnFormula>IFERROR(INDEX(V:V, MATCH(ROW(X1),X:X,0)),"")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34F648-0C28-4BFC-84DA-A166F7DB2F10}" name="Table3" displayName="Table3" ref="AC1:AF6" totalsRowShown="0" headerRowDxfId="69" dataDxfId="67" headerRowBorderDxfId="68" tableBorderDxfId="66" totalsRowBorderDxfId="65">
  <autoFilter ref="AC1:AF6" xr:uid="{AD8EB65A-9238-411B-A61C-74EEC4DE4F48}"/>
  <tableColumns count="4">
    <tableColumn id="1" xr3:uid="{F87B3113-2CF8-4A79-8A37-CAA1199F2C95}" name="Payment Mode" dataDxfId="64"/>
    <tableColumn id="2" xr3:uid="{73898762-614C-4CD4-9984-2FD05A1BBDAE}" name="search" dataDxfId="63">
      <calculatedColumnFormula>IF(ISERROR(SEARCH(INDIRECT(CELL("address")),AC2:AC115)),0,1)</calculatedColumnFormula>
    </tableColumn>
    <tableColumn id="3" xr3:uid="{20FD94DB-C509-4CEC-A375-311F0966C948}" name="number" dataDxfId="62">
      <calculatedColumnFormula>IF(AD2=0,"",COUNTIF($AD$2:AD2,1))</calculatedColumnFormula>
    </tableColumn>
    <tableColumn id="4" xr3:uid="{754D8324-BADD-42E4-BA5B-FEAED798B865}" name="filter" dataDxfId="61">
      <calculatedColumnFormula>IFERROR(INDEX(AC:AC, MATCH(ROW(AE1),AE:AE,0)),"")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7C2768-E758-40F6-904E-6D78BED174DD}" name="Table4" displayName="Table4" ref="AI1:AL51" totalsRowShown="0" headerRowDxfId="60" dataDxfId="59">
  <autoFilter ref="AI1:AL51" xr:uid="{88DB9630-A3AF-4B34-8C0D-0D27CBEF7DA1}"/>
  <tableColumns count="4">
    <tableColumn id="1" xr3:uid="{91349566-5713-4C95-99B2-4A0DF79958BD}" name="Bank Name" dataDxfId="58"/>
    <tableColumn id="2" xr3:uid="{D0B27CE0-3F67-4868-A882-D914F68F08CC}" name="search" dataDxfId="57">
      <calculatedColumnFormula>IF(ISERROR(SEARCH(INDIRECT(CELL("address")),AI2:AI115)),0,1)</calculatedColumnFormula>
    </tableColumn>
    <tableColumn id="3" xr3:uid="{C4C5661E-9506-4C6F-9279-F00CD2C8BADC}" name="number" dataDxfId="56">
      <calculatedColumnFormula>IF(AJ2=0,"",COUNTIF($AJ$2:AJ2,1))</calculatedColumnFormula>
    </tableColumn>
    <tableColumn id="4" xr3:uid="{6FA50EBF-A85D-4DD0-B47E-96B3D1054245}" name="filter" dataDxfId="55">
      <calculatedColumnFormula>IFERROR(INDEX(AI:AI, MATCH(ROW(AK1),AK:AK,0)),"")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C41B5E-0D3C-41B9-AFFE-3B7C0CACA94E}" name="Table5" displayName="Table5" ref="AN1:AQ49" totalsRowShown="0" headerRowDxfId="54" dataDxfId="53" tableBorderDxfId="52">
  <autoFilter ref="AN1:AQ49" xr:uid="{AC08A1E0-0FC8-49BF-AD8C-3844FC113E77}"/>
  <tableColumns count="4">
    <tableColumn id="1" xr3:uid="{910AE164-3638-4EC8-BE83-56338417C2A1}" name="Bank Code" dataDxfId="51"/>
    <tableColumn id="2" xr3:uid="{D72812FA-CDA8-4F21-9A17-4D3E99A50B64}" name="search" dataDxfId="50">
      <calculatedColumnFormula>IF(ISERROR(SEARCH(INDIRECT(CELL("address")),AN2:AN115)),0,1)</calculatedColumnFormula>
    </tableColumn>
    <tableColumn id="3" xr3:uid="{FCDF6337-4F4C-4406-A5DF-3B0418C7027B}" name="number" dataDxfId="49">
      <calculatedColumnFormula>IF(AO2=0,"",COUNTIF($AO$2:AO2,1))</calculatedColumnFormula>
    </tableColumn>
    <tableColumn id="4" xr3:uid="{8FEE08DE-DFBB-437A-B1A8-A7FBA2D7B01D}" name="filter" dataDxfId="48">
      <calculatedColumnFormula>IFERROR(INDEX(AN:AN, MATCH(ROW(AP1),AP:AP,0)),"")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"/>
  <sheetViews>
    <sheetView tabSelected="1" workbookViewId="0">
      <selection activeCell="D18" sqref="D18"/>
    </sheetView>
  </sheetViews>
  <sheetFormatPr defaultRowHeight="12.75"/>
  <cols>
    <col min="1" max="1" width="7.85546875" style="12" bestFit="1" customWidth="1"/>
    <col min="2" max="2" width="12.28515625" style="12" bestFit="1" customWidth="1"/>
    <col min="3" max="3" width="21.7109375" style="12" bestFit="1" customWidth="1"/>
    <col min="4" max="4" width="32.42578125" style="12" customWidth="1"/>
    <col min="5" max="5" width="17" style="12" bestFit="1" customWidth="1"/>
    <col min="6" max="6" width="8.42578125" style="12" bestFit="1" customWidth="1"/>
    <col min="7" max="7" width="14.5703125" style="12" bestFit="1" customWidth="1"/>
    <col min="8" max="8" width="7.42578125" style="12" bestFit="1" customWidth="1"/>
    <col min="9" max="9" width="21.7109375" style="12" bestFit="1" customWidth="1"/>
    <col min="10" max="16384" width="9.140625" style="12"/>
  </cols>
  <sheetData>
    <row r="1" spans="1:9" ht="15">
      <c r="A1" s="11" t="s">
        <v>0</v>
      </c>
      <c r="B1" s="11" t="s">
        <v>3</v>
      </c>
      <c r="C1" s="11" t="s">
        <v>2</v>
      </c>
      <c r="D1" s="11" t="s">
        <v>1</v>
      </c>
      <c r="E1" s="11" t="s">
        <v>4</v>
      </c>
      <c r="F1" s="11" t="s">
        <v>5</v>
      </c>
      <c r="G1" s="11" t="s">
        <v>193</v>
      </c>
      <c r="H1" s="11" t="s">
        <v>6</v>
      </c>
      <c r="I1" s="11" t="s">
        <v>7</v>
      </c>
    </row>
    <row r="2" spans="1:9">
      <c r="G2" s="13"/>
      <c r="H2" s="13">
        <f>F2*G2%</f>
        <v>0</v>
      </c>
      <c r="I2" s="13">
        <f>H2+F2</f>
        <v>0</v>
      </c>
    </row>
  </sheetData>
  <dataConsolidate/>
  <dataValidations count="4">
    <dataValidation type="decimal" operator="greaterThan" allowBlank="1" showInputMessage="1" showErrorMessage="1" errorTitle="Total Amount with GST" error="Enter Total Amount with GST" prompt="Total Amount with GST" sqref="I2" xr:uid="{00000000-0002-0000-0000-000003000000}">
      <formula1>-1</formula1>
    </dataValidation>
    <dataValidation type="decimal" operator="greaterThan" allowBlank="1" showInputMessage="1" showErrorMessage="1" errorTitle="GST" error="Enter GST" prompt="Enter GST" sqref="H2" xr:uid="{00000000-0002-0000-0000-000005000000}">
      <formula1>-1</formula1>
    </dataValidation>
    <dataValidation type="list" allowBlank="1" showInputMessage="1" prompt="Select Facility" sqref="D2:D1048576" xr:uid="{F51C0A47-D7E3-425C-88CD-9A55FABE0EAC}">
      <formula1>Facility_pic</formula1>
    </dataValidation>
    <dataValidation type="list" allowBlank="1" showInputMessage="1" prompt="Select Expense Category" sqref="E2:E1048576" xr:uid="{FD61B7F8-6682-446E-87DB-2952C9CEFE5B}">
      <formula1>expense_category_pic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InputMessage="1" showErrorMessage="1" errorTitle="GST" error="Enter GST" prompt="Enter GST" xr:uid="{00000000-0002-0000-0000-000008000000}">
          <x14:formula1>
            <xm:f>Details!$L$5:$L$7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Q1043"/>
  <sheetViews>
    <sheetView topLeftCell="P1" workbookViewId="0">
      <selection activeCell="Z23" sqref="Z23"/>
    </sheetView>
  </sheetViews>
  <sheetFormatPr defaultColWidth="12.5703125" defaultRowHeight="15.75" customHeight="1"/>
  <cols>
    <col min="2" max="2" width="9.85546875" customWidth="1"/>
    <col min="3" max="3" width="11" customWidth="1"/>
    <col min="4" max="4" width="18.85546875" customWidth="1"/>
    <col min="5" max="5" width="6.5703125" customWidth="1"/>
    <col min="6" max="6" width="30" customWidth="1"/>
    <col min="7" max="7" width="34.28515625" customWidth="1"/>
    <col min="8" max="8" width="13.42578125" customWidth="1"/>
    <col min="9" max="9" width="54.140625" customWidth="1"/>
    <col min="10" max="10" width="9.5703125" customWidth="1"/>
    <col min="11" max="11" width="8.7109375" customWidth="1"/>
    <col min="16" max="16" width="22.7109375" bestFit="1" customWidth="1"/>
    <col min="22" max="22" width="42.5703125" customWidth="1"/>
    <col min="29" max="29" width="18.140625" customWidth="1"/>
    <col min="35" max="35" width="63.28515625" bestFit="1" customWidth="1"/>
    <col min="40" max="40" width="13.42578125" customWidth="1"/>
  </cols>
  <sheetData>
    <row r="1" spans="1:43" ht="15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" t="s">
        <v>16</v>
      </c>
      <c r="Q1" s="4" t="s">
        <v>195</v>
      </c>
      <c r="R1" s="4" t="s">
        <v>196</v>
      </c>
      <c r="S1" s="4" t="s">
        <v>197</v>
      </c>
      <c r="T1" s="1"/>
      <c r="U1" s="1"/>
      <c r="V1" s="16" t="s">
        <v>11</v>
      </c>
      <c r="W1" s="17" t="s">
        <v>198</v>
      </c>
      <c r="X1" s="17" t="s">
        <v>199</v>
      </c>
      <c r="Y1" s="17" t="s">
        <v>200</v>
      </c>
      <c r="AC1" s="17" t="s">
        <v>12</v>
      </c>
      <c r="AD1" s="17" t="s">
        <v>198</v>
      </c>
      <c r="AE1" s="17" t="s">
        <v>199</v>
      </c>
      <c r="AF1" s="17" t="s">
        <v>200</v>
      </c>
      <c r="AI1" s="1" t="s">
        <v>13</v>
      </c>
      <c r="AJ1" s="1" t="s">
        <v>198</v>
      </c>
      <c r="AK1" s="1" t="s">
        <v>199</v>
      </c>
      <c r="AL1" s="1" t="s">
        <v>200</v>
      </c>
      <c r="AN1" s="1" t="s">
        <v>14</v>
      </c>
      <c r="AO1" s="1" t="s">
        <v>198</v>
      </c>
      <c r="AP1" s="1" t="s">
        <v>199</v>
      </c>
      <c r="AQ1" s="1" t="s">
        <v>200</v>
      </c>
    </row>
    <row r="2" spans="1:43" ht="15.75" customHeight="1">
      <c r="A2" s="1"/>
      <c r="B2" s="2" t="s">
        <v>8</v>
      </c>
      <c r="C2" s="2" t="s">
        <v>9</v>
      </c>
      <c r="D2" s="2" t="s">
        <v>1</v>
      </c>
      <c r="E2" s="2" t="s">
        <v>1</v>
      </c>
      <c r="F2" s="2" t="s">
        <v>10</v>
      </c>
      <c r="G2" s="2" t="s">
        <v>11</v>
      </c>
      <c r="H2" s="2" t="s">
        <v>12</v>
      </c>
      <c r="I2" s="2" t="s">
        <v>13</v>
      </c>
      <c r="J2" s="2" t="s">
        <v>14</v>
      </c>
      <c r="K2" s="2" t="s">
        <v>15</v>
      </c>
      <c r="L2" s="1"/>
      <c r="M2" s="1"/>
      <c r="N2" s="1"/>
      <c r="O2" s="1"/>
      <c r="P2" s="14" t="s">
        <v>168</v>
      </c>
      <c r="Q2" s="1">
        <f t="shared" ref="Q2" ca="1" si="0">IF(ISERROR(SEARCH(INDIRECT(CELL("address")),P2:P112)),0,1)</f>
        <v>1</v>
      </c>
      <c r="R2" s="1">
        <f ca="1">IF(Q2=0,"",COUNTIF($Q$2:Q2,1))</f>
        <v>1</v>
      </c>
      <c r="S2" s="1" t="str">
        <f ca="1">IFERROR(INDEX(P:P, MATCH(ROW(R1),R:R,0)),"")</f>
        <v>HQ-Technology Services</v>
      </c>
      <c r="T2" s="1"/>
      <c r="U2" s="1"/>
      <c r="V2" s="24" t="s">
        <v>41</v>
      </c>
      <c r="W2">
        <f ca="1">IF(ISERROR(SEARCH(INDIRECT(CELL("address")),V2:V158)),0,1)</f>
        <v>1</v>
      </c>
      <c r="X2">
        <f ca="1">IF(W2=0,"",COUNTIF($W$2:W2,1))</f>
        <v>1</v>
      </c>
      <c r="Y2" t="str">
        <f ca="1">IFERROR(INDEX(V:V, MATCH(ROW(X1),X:X,0)),"")</f>
        <v>Employee Recreation Welfare</v>
      </c>
      <c r="AC2" s="18" t="s">
        <v>22</v>
      </c>
      <c r="AD2" s="20">
        <f t="shared" ref="AD2:AD6" ca="1" si="1">IF(ISERROR(SEARCH(INDIRECT(CELL("address")),AC2:AC115)),0,1)</f>
        <v>1</v>
      </c>
      <c r="AE2" s="20">
        <f ca="1">IF(AD2=0,"",COUNTIF($AD$2:AD2,1))</f>
        <v>1</v>
      </c>
      <c r="AF2" s="20" t="str">
        <f t="shared" ref="AF2:AF6" ca="1" si="2">IFERROR(INDEX(AC:AC, MATCH(ROW(AE1),AE:AE,0)),"")</f>
        <v>Fast Payment</v>
      </c>
      <c r="AI2" s="6" t="s">
        <v>23</v>
      </c>
      <c r="AJ2" s="21">
        <f t="shared" ref="AJ2:AJ33" ca="1" si="3">IF(ISERROR(SEARCH(INDIRECT(CELL("address")),AI2:AI115)),0,1)</f>
        <v>1</v>
      </c>
      <c r="AK2" s="21">
        <f ca="1">IF(AJ2=0,"",COUNTIF($AJ$2:AJ2,1))</f>
        <v>1</v>
      </c>
      <c r="AL2" s="21" t="str">
        <f t="shared" ref="AL2:AL33" ca="1" si="4">IFERROR(INDEX(AI:AI, MATCH(ROW(AK1),AK:AK,0)),"")</f>
        <v>Australia &amp; New Zealand Banking Group Limited</v>
      </c>
      <c r="AN2" s="6">
        <v>7931</v>
      </c>
      <c r="AO2" s="21">
        <f t="shared" ref="AO2:AO49" ca="1" si="5">IF(ISERROR(SEARCH(INDIRECT(CELL("address")),AN2:AN115)),0,1)</f>
        <v>1</v>
      </c>
      <c r="AP2" s="21">
        <f ca="1">IF(AO2=0,"",COUNTIF($AO$2:AO2,1))</f>
        <v>1</v>
      </c>
      <c r="AQ2" s="21">
        <f t="shared" ref="AQ2:AQ49" ca="1" si="6">IFERROR(INDEX(AN:AN, MATCH(ROW(AP1),AP:AP,0)),"")</f>
        <v>7931</v>
      </c>
    </row>
    <row r="3" spans="1:43" ht="15.75" customHeight="1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4" t="s">
        <v>191</v>
      </c>
      <c r="Q3" s="1">
        <f ca="1">IF(ISERROR(SEARCH(INDIRECT(CELL("address")),P3:P128)),0,1)</f>
        <v>1</v>
      </c>
      <c r="R3" s="1">
        <f ca="1">IF(Q3=0,"",COUNTIF($Q$2:Q3,1))</f>
        <v>2</v>
      </c>
      <c r="S3" s="1" t="str">
        <f ca="1">IFERROR(INDEX(P:P, MATCH(ROW(R2),R:R,0)),"")</f>
        <v>BD AND MARKETING</v>
      </c>
      <c r="T3" s="1"/>
      <c r="U3" s="1"/>
      <c r="V3" s="25" t="s">
        <v>21</v>
      </c>
      <c r="W3">
        <f ca="1">IF(ISERROR(SEARCH(INDIRECT(CELL("address")),V3:V159)),0,1)</f>
        <v>1</v>
      </c>
      <c r="X3">
        <f ca="1">IF(W3=0,"",COUNTIF($W$2:W3,1))</f>
        <v>2</v>
      </c>
      <c r="Y3" t="str">
        <f ca="1">IFERROR(INDEX(V:V, MATCH(ROW(X2),X:X,0)),"")</f>
        <v>Accomodation SHN</v>
      </c>
      <c r="AC3" s="18" t="s">
        <v>29</v>
      </c>
      <c r="AD3" s="18">
        <f t="shared" ca="1" si="1"/>
        <v>1</v>
      </c>
      <c r="AE3" s="18">
        <f ca="1">IF(AD3=0,"",COUNTIF($AD$2:AD3,1))</f>
        <v>2</v>
      </c>
      <c r="AF3" s="18" t="str">
        <f t="shared" ca="1" si="2"/>
        <v>PayNow</v>
      </c>
      <c r="AI3" s="6" t="s">
        <v>30</v>
      </c>
      <c r="AJ3" s="6">
        <f ca="1">IF(ISERROR(SEARCH(INDIRECT(CELL("address")),AI3:AI116)),0,1)</f>
        <v>1</v>
      </c>
      <c r="AK3" s="6">
        <f ca="1">IF(AJ3=0,"",COUNTIF($AJ$2:AJ3,1))</f>
        <v>2</v>
      </c>
      <c r="AL3" s="6" t="str">
        <f t="shared" ca="1" si="4"/>
        <v>Bangkok Bank Public Company Limited</v>
      </c>
      <c r="AN3" s="6">
        <v>7047</v>
      </c>
      <c r="AO3" s="6">
        <f t="shared" ca="1" si="5"/>
        <v>1</v>
      </c>
      <c r="AP3" s="6">
        <f ca="1">IF(AO3=0,"",COUNTIF($AO$2:AO3,1))</f>
        <v>2</v>
      </c>
      <c r="AQ3" s="6">
        <f t="shared" ca="1" si="6"/>
        <v>7047</v>
      </c>
    </row>
    <row r="4" spans="1:43" ht="15.75" customHeight="1">
      <c r="A4" s="1"/>
      <c r="B4" s="1"/>
      <c r="C4" s="1"/>
      <c r="D4" s="4" t="s">
        <v>16</v>
      </c>
      <c r="E4" s="1"/>
      <c r="F4" s="1"/>
      <c r="G4" s="2" t="s">
        <v>11</v>
      </c>
      <c r="H4" s="1"/>
      <c r="I4" s="1" t="s">
        <v>13</v>
      </c>
      <c r="J4" s="1" t="s">
        <v>14</v>
      </c>
      <c r="K4" s="1"/>
      <c r="L4" s="1" t="s">
        <v>194</v>
      </c>
      <c r="M4" s="1"/>
      <c r="N4" s="1"/>
      <c r="O4" s="1"/>
      <c r="P4" s="14" t="s">
        <v>91</v>
      </c>
      <c r="Q4" s="1">
        <f ca="1">IF(ISERROR(SEARCH(INDIRECT(CELL("address")),P4:P129)),0,1)</f>
        <v>1</v>
      </c>
      <c r="R4" s="1">
        <f ca="1">IF(Q4=0,"",COUNTIF($Q$2:Q4,1))</f>
        <v>3</v>
      </c>
      <c r="S4" s="1" t="str">
        <f ca="1">IFERROR(INDEX(P:P, MATCH(ROW(R3),R:R,0)),"")</f>
        <v>HQ-HR Recruitment</v>
      </c>
      <c r="T4" s="1"/>
      <c r="U4" s="1"/>
      <c r="V4" s="24" t="s">
        <v>28</v>
      </c>
      <c r="W4">
        <f ca="1">IF(ISERROR(SEARCH(INDIRECT(CELL("address")),V4:V160)),0,1)</f>
        <v>1</v>
      </c>
      <c r="X4">
        <f ca="1">IF(W4=0,"",COUNTIF($W$2:W4,1))</f>
        <v>3</v>
      </c>
      <c r="Y4" t="str">
        <f ca="1">IFERROR(INDEX(V:V, MATCH(ROW(X3),X:X,0)),"")</f>
        <v>Contract Labour</v>
      </c>
      <c r="AC4" s="18" t="s">
        <v>34</v>
      </c>
      <c r="AD4" s="18">
        <f t="shared" ca="1" si="1"/>
        <v>1</v>
      </c>
      <c r="AE4" s="18">
        <f ca="1">IF(AD4=0,"",COUNTIF($AD$2:AD4,1))</f>
        <v>3</v>
      </c>
      <c r="AF4" s="18" t="str">
        <f t="shared" ca="1" si="2"/>
        <v>GIRO</v>
      </c>
      <c r="AI4" s="6" t="s">
        <v>35</v>
      </c>
      <c r="AJ4" s="6">
        <f t="shared" ca="1" si="3"/>
        <v>1</v>
      </c>
      <c r="AK4" s="6">
        <f ca="1">IF(AJ4=0,"",COUNTIF($AJ$2:AJ4,1))</f>
        <v>3</v>
      </c>
      <c r="AL4" s="6" t="str">
        <f t="shared" ca="1" si="4"/>
        <v>Bank Of America, N.A.</v>
      </c>
      <c r="AN4" s="6">
        <v>7065</v>
      </c>
      <c r="AO4" s="6">
        <f t="shared" ca="1" si="5"/>
        <v>1</v>
      </c>
      <c r="AP4" s="6">
        <f ca="1">IF(AO4=0,"",COUNTIF($AO$2:AO4,1))</f>
        <v>3</v>
      </c>
      <c r="AQ4" s="6">
        <f t="shared" ca="1" si="6"/>
        <v>7065</v>
      </c>
    </row>
    <row r="5" spans="1:43" ht="15.75" customHeight="1">
      <c r="A5" s="1"/>
      <c r="B5" s="3" t="s">
        <v>17</v>
      </c>
      <c r="C5" s="3" t="s">
        <v>18</v>
      </c>
      <c r="D5" s="14" t="s">
        <v>168</v>
      </c>
      <c r="E5" s="1"/>
      <c r="F5" s="5" t="s">
        <v>20</v>
      </c>
      <c r="G5" s="24" t="s">
        <v>41</v>
      </c>
      <c r="H5" s="3" t="s">
        <v>22</v>
      </c>
      <c r="I5" s="6" t="s">
        <v>23</v>
      </c>
      <c r="J5" s="6">
        <v>7931</v>
      </c>
      <c r="K5" s="3" t="s">
        <v>24</v>
      </c>
      <c r="L5" s="15">
        <v>8</v>
      </c>
      <c r="M5" s="1"/>
      <c r="N5" s="1"/>
      <c r="O5" s="1"/>
      <c r="P5" s="14" t="s">
        <v>96</v>
      </c>
      <c r="Q5" s="1">
        <f ca="1">IF(ISERROR(SEARCH(INDIRECT(CELL("address")),P5:P130)),0,1)</f>
        <v>1</v>
      </c>
      <c r="R5" s="1">
        <f ca="1">IF(Q5=0,"",COUNTIF($Q$2:Q5,1))</f>
        <v>4</v>
      </c>
      <c r="S5" s="1" t="str">
        <f ca="1">IFERROR(INDEX(P:P, MATCH(ROW(R4),R:R,0)),"")</f>
        <v>HQ-Procurement</v>
      </c>
      <c r="T5" s="1"/>
      <c r="U5" s="1"/>
      <c r="V5" s="25" t="s">
        <v>33</v>
      </c>
      <c r="W5">
        <f ca="1">IF(ISERROR(SEARCH(INDIRECT(CELL("address")),V5:V161)),0,1)</f>
        <v>1</v>
      </c>
      <c r="X5">
        <f ca="1">IF(W5=0,"",COUNTIF($W$2:W5,1))</f>
        <v>4</v>
      </c>
      <c r="Y5" t="str">
        <f ca="1">IFERROR(INDEX(V:V, MATCH(ROW(X4),X:X,0)),"")</f>
        <v>Donations</v>
      </c>
      <c r="AC5" s="18" t="s">
        <v>38</v>
      </c>
      <c r="AD5" s="18">
        <f t="shared" ca="1" si="1"/>
        <v>1</v>
      </c>
      <c r="AE5" s="18">
        <f ca="1">IF(AD5=0,"",COUNTIF($AD$2:AD5,1))</f>
        <v>4</v>
      </c>
      <c r="AF5" s="18" t="str">
        <f t="shared" ca="1" si="2"/>
        <v>TT</v>
      </c>
      <c r="AI5" s="6" t="s">
        <v>39</v>
      </c>
      <c r="AJ5" s="6">
        <f t="shared" ca="1" si="3"/>
        <v>1</v>
      </c>
      <c r="AK5" s="6">
        <f ca="1">IF(AJ5=0,"",COUNTIF($AJ$2:AJ5,1))</f>
        <v>4</v>
      </c>
      <c r="AL5" s="6" t="str">
        <f t="shared" ca="1" si="4"/>
        <v>Bank Of China Limited</v>
      </c>
      <c r="AN5" s="6">
        <v>7083</v>
      </c>
      <c r="AO5" s="6">
        <f t="shared" ca="1" si="5"/>
        <v>1</v>
      </c>
      <c r="AP5" s="6">
        <f ca="1">IF(AO5=0,"",COUNTIF($AO$2:AO5,1))</f>
        <v>4</v>
      </c>
      <c r="AQ5" s="6">
        <f t="shared" ca="1" si="6"/>
        <v>7083</v>
      </c>
    </row>
    <row r="6" spans="1:43" ht="15.75" customHeight="1">
      <c r="A6" s="1"/>
      <c r="B6" s="3" t="s">
        <v>25</v>
      </c>
      <c r="C6" s="3" t="s">
        <v>26</v>
      </c>
      <c r="D6" s="14" t="s">
        <v>191</v>
      </c>
      <c r="E6" s="1"/>
      <c r="F6" s="1"/>
      <c r="G6" s="25" t="s">
        <v>21</v>
      </c>
      <c r="H6" s="3" t="s">
        <v>29</v>
      </c>
      <c r="I6" s="6" t="s">
        <v>30</v>
      </c>
      <c r="J6" s="6">
        <v>7047</v>
      </c>
      <c r="K6" s="3" t="s">
        <v>31</v>
      </c>
      <c r="L6" s="15">
        <v>7</v>
      </c>
      <c r="M6" s="1"/>
      <c r="N6" s="1"/>
      <c r="O6" s="1"/>
      <c r="P6" s="14" t="s">
        <v>189</v>
      </c>
      <c r="Q6" s="1">
        <f ca="1">IF(ISERROR(SEARCH(INDIRECT(CELL("address")),P6:P131)),0,1)</f>
        <v>1</v>
      </c>
      <c r="R6" s="1">
        <f ca="1">IF(Q6=0,"",COUNTIF($Q$2:Q6,1))</f>
        <v>5</v>
      </c>
      <c r="S6" s="1" t="str">
        <f ca="1">IFERROR(INDEX(P:P, MATCH(ROW(R5),R:R,0)),"")</f>
        <v>HQ HEALTHCARE</v>
      </c>
      <c r="T6" s="1"/>
      <c r="U6" s="1"/>
      <c r="V6" s="25" t="s">
        <v>234</v>
      </c>
      <c r="W6">
        <f ca="1">IF(ISERROR(SEARCH(INDIRECT(CELL("address")),V6:V162)),0,1)</f>
        <v>1</v>
      </c>
      <c r="X6">
        <f ca="1">IF(W6=0,"",COUNTIF($W$2:W6,1))</f>
        <v>5</v>
      </c>
      <c r="Y6" t="str">
        <f ca="1">IFERROR(INDEX(V:V, MATCH(ROW(X5),X:X,0)),"")</f>
        <v xml:space="preserve">Durables - new fixed assets &lt; $2,000 </v>
      </c>
      <c r="AC6" s="19" t="s">
        <v>42</v>
      </c>
      <c r="AD6" s="19">
        <f t="shared" ca="1" si="1"/>
        <v>1</v>
      </c>
      <c r="AE6" s="19">
        <f ca="1">IF(AD6=0,"",COUNTIF($AD$2:AD6,1))</f>
        <v>5</v>
      </c>
      <c r="AF6" s="19" t="str">
        <f t="shared" ca="1" si="2"/>
        <v>RTGS</v>
      </c>
      <c r="AI6" s="6" t="s">
        <v>43</v>
      </c>
      <c r="AJ6" s="6">
        <f t="shared" ca="1" si="3"/>
        <v>1</v>
      </c>
      <c r="AK6" s="6">
        <f ca="1">IF(AJ6=0,"",COUNTIF($AJ$2:AJ6,1))</f>
        <v>5</v>
      </c>
      <c r="AL6" s="6" t="str">
        <f t="shared" ca="1" si="4"/>
        <v>Bank Of India</v>
      </c>
      <c r="AN6" s="6">
        <v>7108</v>
      </c>
      <c r="AO6" s="6">
        <f t="shared" ca="1" si="5"/>
        <v>1</v>
      </c>
      <c r="AP6" s="6">
        <f ca="1">IF(AO6=0,"",COUNTIF($AO$2:AO6,1))</f>
        <v>5</v>
      </c>
      <c r="AQ6" s="6">
        <f t="shared" ca="1" si="6"/>
        <v>7108</v>
      </c>
    </row>
    <row r="7" spans="1:43" ht="15.75" customHeight="1">
      <c r="A7" s="1"/>
      <c r="B7" s="1"/>
      <c r="C7" s="1"/>
      <c r="D7" s="14" t="s">
        <v>91</v>
      </c>
      <c r="E7" s="1"/>
      <c r="F7" s="1"/>
      <c r="G7" s="24" t="s">
        <v>28</v>
      </c>
      <c r="H7" s="3" t="s">
        <v>34</v>
      </c>
      <c r="I7" s="6" t="s">
        <v>35</v>
      </c>
      <c r="J7" s="6">
        <v>7065</v>
      </c>
      <c r="K7" s="3" t="s">
        <v>36</v>
      </c>
      <c r="L7" s="15">
        <v>0</v>
      </c>
      <c r="M7" s="1"/>
      <c r="N7" s="1"/>
      <c r="O7" s="1"/>
      <c r="P7" s="14" t="s">
        <v>169</v>
      </c>
      <c r="Q7" s="1">
        <f ca="1">IF(ISERROR(SEARCH(INDIRECT(CELL("address")),P7:P132)),0,1)</f>
        <v>1</v>
      </c>
      <c r="R7" s="1">
        <f ca="1">IF(Q7=0,"",COUNTIF($Q$2:Q7,1))</f>
        <v>6</v>
      </c>
      <c r="S7" s="1" t="str">
        <f ca="1">IFERROR(INDEX(P:P, MATCH(ROW(R6),R:R,0)),"")</f>
        <v>HQ-HSE</v>
      </c>
      <c r="T7" s="1"/>
      <c r="U7" s="1"/>
      <c r="V7" s="25" t="s">
        <v>45</v>
      </c>
      <c r="W7">
        <f ca="1">IF(ISERROR(SEARCH(INDIRECT(CELL("address")),V7:V163)),0,1)</f>
        <v>1</v>
      </c>
      <c r="X7">
        <f ca="1">IF(W7=0,"",COUNTIF($W$2:W7,1))</f>
        <v>6</v>
      </c>
      <c r="Y7" t="str">
        <f ca="1">IFERROR(INDEX(V:V, MATCH(ROW(X6),X:X,0)),"")</f>
        <v>Entertainment</v>
      </c>
      <c r="AC7" s="1"/>
      <c r="AI7" s="6" t="s">
        <v>46</v>
      </c>
      <c r="AJ7" s="6">
        <f t="shared" ca="1" si="3"/>
        <v>1</v>
      </c>
      <c r="AK7" s="6">
        <f ca="1">IF(AJ7=0,"",COUNTIF($AJ$2:AJ7,1))</f>
        <v>6</v>
      </c>
      <c r="AL7" s="6" t="str">
        <f t="shared" ca="1" si="4"/>
        <v>Bank Of Tokyo-Mitsubishi UFJ, Limited</v>
      </c>
      <c r="AN7" s="6">
        <v>7126</v>
      </c>
      <c r="AO7" s="6">
        <f t="shared" ca="1" si="5"/>
        <v>1</v>
      </c>
      <c r="AP7" s="6">
        <f ca="1">IF(AO7=0,"",COUNTIF($AO$2:AO7,1))</f>
        <v>6</v>
      </c>
      <c r="AQ7" s="6">
        <f t="shared" ca="1" si="6"/>
        <v>7126</v>
      </c>
    </row>
    <row r="8" spans="1:43" ht="15.75" customHeight="1">
      <c r="A8" s="1"/>
      <c r="B8" s="1"/>
      <c r="C8" s="1"/>
      <c r="D8" s="14" t="s">
        <v>96</v>
      </c>
      <c r="E8" s="1"/>
      <c r="F8" s="1"/>
      <c r="G8" s="25" t="s">
        <v>33</v>
      </c>
      <c r="H8" s="3" t="s">
        <v>38</v>
      </c>
      <c r="I8" s="6" t="s">
        <v>39</v>
      </c>
      <c r="J8" s="6">
        <v>7083</v>
      </c>
      <c r="K8" s="1"/>
      <c r="L8" s="1"/>
      <c r="M8" s="1"/>
      <c r="N8" s="1"/>
      <c r="O8" s="1"/>
      <c r="P8" s="14" t="s">
        <v>177</v>
      </c>
      <c r="Q8" s="1">
        <f ca="1">IF(ISERROR(SEARCH(INDIRECT(CELL("address")),P8:P133)),0,1)</f>
        <v>1</v>
      </c>
      <c r="R8" s="1">
        <f ca="1">IF(Q8=0,"",COUNTIF($Q$2:Q8,1))</f>
        <v>7</v>
      </c>
      <c r="S8" s="1" t="str">
        <f ca="1">IFERROR(INDEX(P:P, MATCH(ROW(R7),R:R,0)),"")</f>
        <v>STORE</v>
      </c>
      <c r="T8" s="1"/>
      <c r="U8" s="1"/>
      <c r="V8" s="24" t="s">
        <v>48</v>
      </c>
      <c r="W8">
        <f ca="1">IF(ISERROR(SEARCH(INDIRECT(CELL("address")),V8:V164)),0,1)</f>
        <v>1</v>
      </c>
      <c r="X8">
        <f ca="1">IF(W8=0,"",COUNTIF($W$2:W8,1))</f>
        <v>7</v>
      </c>
      <c r="Y8" t="str">
        <f ca="1">IFERROR(INDEX(V:V, MATCH(ROW(X7),X:X,0)),"")</f>
        <v>Medical</v>
      </c>
      <c r="AI8" s="6" t="s">
        <v>49</v>
      </c>
      <c r="AJ8" s="6">
        <f t="shared" ca="1" si="3"/>
        <v>1</v>
      </c>
      <c r="AK8" s="6">
        <f ca="1">IF(AJ8=0,"",COUNTIF($AJ$2:AJ8,1))</f>
        <v>7</v>
      </c>
      <c r="AL8" s="6" t="str">
        <f t="shared" ca="1" si="4"/>
        <v>BNP Paribas</v>
      </c>
      <c r="AN8" s="6">
        <v>7418</v>
      </c>
      <c r="AO8" s="6">
        <f t="shared" ca="1" si="5"/>
        <v>1</v>
      </c>
      <c r="AP8" s="6">
        <f ca="1">IF(AO8=0,"",COUNTIF($AO$2:AO8,1))</f>
        <v>7</v>
      </c>
      <c r="AQ8" s="6">
        <f t="shared" ca="1" si="6"/>
        <v>7418</v>
      </c>
    </row>
    <row r="9" spans="1:43" ht="15.75" customHeight="1">
      <c r="A9" s="1"/>
      <c r="B9" s="1"/>
      <c r="C9" s="1"/>
      <c r="D9" s="14" t="s">
        <v>189</v>
      </c>
      <c r="E9" s="1"/>
      <c r="F9" s="1"/>
      <c r="G9" s="25" t="s">
        <v>234</v>
      </c>
      <c r="H9" s="3" t="s">
        <v>42</v>
      </c>
      <c r="I9" s="6" t="s">
        <v>43</v>
      </c>
      <c r="J9" s="6">
        <v>7108</v>
      </c>
      <c r="K9" s="1"/>
      <c r="L9" s="1"/>
      <c r="M9" s="1"/>
      <c r="N9" s="1"/>
      <c r="O9" s="1"/>
      <c r="P9" s="14" t="s">
        <v>78</v>
      </c>
      <c r="Q9" s="1">
        <f ca="1">IF(ISERROR(SEARCH(INDIRECT(CELL("address")),P9:P134)),0,1)</f>
        <v>1</v>
      </c>
      <c r="R9" s="1">
        <f ca="1">IF(Q9=0,"",COUNTIF($Q$2:Q9,1))</f>
        <v>8</v>
      </c>
      <c r="S9" s="1" t="str">
        <f ca="1">IFERROR(INDEX(P:P, MATCH(ROW(R8),R:R,0)),"")</f>
        <v>General</v>
      </c>
      <c r="T9" s="1"/>
      <c r="U9" s="1"/>
      <c r="V9" s="25" t="s">
        <v>51</v>
      </c>
      <c r="W9">
        <f ca="1">IF(ISERROR(SEARCH(INDIRECT(CELL("address")),V9:V165)),0,1)</f>
        <v>1</v>
      </c>
      <c r="X9">
        <f ca="1">IF(W9=0,"",COUNTIF($W$2:W9,1))</f>
        <v>8</v>
      </c>
      <c r="Y9" t="str">
        <f ca="1">IFERROR(INDEX(V:V, MATCH(ROW(X8),X:X,0)),"")</f>
        <v>Postages &amp; courier services</v>
      </c>
      <c r="AI9" s="6" t="s">
        <v>52</v>
      </c>
      <c r="AJ9" s="6">
        <f t="shared" ca="1" si="3"/>
        <v>1</v>
      </c>
      <c r="AK9" s="6">
        <f ca="1">IF(AJ9=0,"",COUNTIF($AJ$2:AJ9,1))</f>
        <v>8</v>
      </c>
      <c r="AL9" s="6" t="str">
        <f t="shared" ca="1" si="4"/>
        <v>Chinatrust Commercial Bank Co. Limited</v>
      </c>
      <c r="AN9" s="6">
        <v>9353</v>
      </c>
      <c r="AO9" s="6">
        <f t="shared" ca="1" si="5"/>
        <v>1</v>
      </c>
      <c r="AP9" s="6">
        <f ca="1">IF(AO9=0,"",COUNTIF($AO$2:AO9,1))</f>
        <v>8</v>
      </c>
      <c r="AQ9" s="6">
        <f t="shared" ca="1" si="6"/>
        <v>9353</v>
      </c>
    </row>
    <row r="10" spans="1:43" ht="15.75" customHeight="1">
      <c r="A10" s="1"/>
      <c r="B10" s="1"/>
      <c r="C10" s="1"/>
      <c r="D10" s="14" t="s">
        <v>169</v>
      </c>
      <c r="E10" s="1"/>
      <c r="F10" s="1"/>
      <c r="G10" s="25" t="s">
        <v>45</v>
      </c>
      <c r="H10" s="1"/>
      <c r="I10" s="6" t="s">
        <v>46</v>
      </c>
      <c r="J10" s="6">
        <v>7126</v>
      </c>
      <c r="K10" s="1"/>
      <c r="L10" s="1"/>
      <c r="M10" s="1"/>
      <c r="N10" s="1"/>
      <c r="O10" s="1"/>
      <c r="P10" s="14" t="s">
        <v>89</v>
      </c>
      <c r="Q10" s="1">
        <f ca="1">IF(ISERROR(SEARCH(INDIRECT(CELL("address")),P10:P135)),0,1)</f>
        <v>1</v>
      </c>
      <c r="R10" s="1">
        <f ca="1">IF(Q10=0,"",COUNTIF($Q$2:Q10,1))</f>
        <v>9</v>
      </c>
      <c r="S10" s="1" t="str">
        <f ca="1">IFERROR(INDEX(P:P, MATCH(ROW(R9),R:R,0)),"")</f>
        <v>HQ-Finance</v>
      </c>
      <c r="T10" s="1"/>
      <c r="U10" s="1"/>
      <c r="V10" s="25" t="s">
        <v>235</v>
      </c>
      <c r="W10">
        <f ca="1">IF(ISERROR(SEARCH(INDIRECT(CELL("address")),V10:V166)),0,1)</f>
        <v>1</v>
      </c>
      <c r="X10">
        <f ca="1">IF(W10=0,"",COUNTIF($W$2:W10,1))</f>
        <v>9</v>
      </c>
      <c r="Y10" t="str">
        <f ca="1">IFERROR(INDEX(V:V, MATCH(ROW(X9),X:X,0)),"")</f>
        <v>Printing &amp; stationery</v>
      </c>
      <c r="AI10" s="6" t="s">
        <v>54</v>
      </c>
      <c r="AJ10" s="6">
        <f t="shared" ca="1" si="3"/>
        <v>1</v>
      </c>
      <c r="AK10" s="6">
        <f ca="1">IF(AJ10=0,"",COUNTIF($AJ$2:AJ10,1))</f>
        <v>9</v>
      </c>
      <c r="AL10" s="6" t="str">
        <f t="shared" ca="1" si="4"/>
        <v>CIMB Bank Berhad</v>
      </c>
      <c r="AN10" s="6">
        <v>7986</v>
      </c>
      <c r="AO10" s="6">
        <f t="shared" ca="1" si="5"/>
        <v>1</v>
      </c>
      <c r="AP10" s="6">
        <f ca="1">IF(AO10=0,"",COUNTIF($AO$2:AO10,1))</f>
        <v>9</v>
      </c>
      <c r="AQ10" s="6">
        <f t="shared" ca="1" si="6"/>
        <v>7986</v>
      </c>
    </row>
    <row r="11" spans="1:43" ht="15.75" customHeight="1">
      <c r="A11" s="1"/>
      <c r="B11" s="1"/>
      <c r="C11" s="1"/>
      <c r="D11" s="14" t="s">
        <v>177</v>
      </c>
      <c r="E11" s="1"/>
      <c r="F11" s="1"/>
      <c r="G11" s="24" t="s">
        <v>48</v>
      </c>
      <c r="H11" s="1"/>
      <c r="I11" s="6" t="s">
        <v>49</v>
      </c>
      <c r="J11" s="6">
        <v>7418</v>
      </c>
      <c r="K11" s="1"/>
      <c r="L11" s="1"/>
      <c r="M11" s="1"/>
      <c r="N11" s="1"/>
      <c r="O11" s="1"/>
      <c r="P11" s="14" t="s">
        <v>190</v>
      </c>
      <c r="Q11" s="1">
        <f ca="1">IF(ISERROR(SEARCH(INDIRECT(CELL("address")),P11:P136)),0,1)</f>
        <v>1</v>
      </c>
      <c r="R11" s="1">
        <f ca="1">IF(Q11=0,"",COUNTIF($Q$2:Q11,1))</f>
        <v>10</v>
      </c>
      <c r="S11" s="1" t="str">
        <f ca="1">IFERROR(INDEX(P:P, MATCH(ROW(R10),R:R,0)),"")</f>
        <v>HQ NON-HEALTHCARE</v>
      </c>
      <c r="T11" s="1"/>
      <c r="U11" s="1"/>
      <c r="V11" s="24" t="s">
        <v>56</v>
      </c>
      <c r="W11">
        <f ca="1">IF(ISERROR(SEARCH(INDIRECT(CELL("address")),V11:V167)),0,1)</f>
        <v>1</v>
      </c>
      <c r="X11">
        <f ca="1">IF(W11=0,"",COUNTIF($W$2:W11,1))</f>
        <v>10</v>
      </c>
      <c r="Y11" t="str">
        <f ca="1">IFERROR(INDEX(V:V, MATCH(ROW(X10),X:X,0)),"")</f>
        <v>Recruitment</v>
      </c>
      <c r="AI11" s="7" t="s">
        <v>57</v>
      </c>
      <c r="AJ11" s="6">
        <f t="shared" ca="1" si="3"/>
        <v>1</v>
      </c>
      <c r="AK11" s="6">
        <f ca="1">IF(AJ11=0,"",COUNTIF($AJ$2:AJ11,1))</f>
        <v>10</v>
      </c>
      <c r="AL11" s="6" t="str">
        <f t="shared" ca="1" si="4"/>
        <v>Citibank N.A, Singapore Branch</v>
      </c>
      <c r="AN11" s="7">
        <v>7214</v>
      </c>
      <c r="AO11" s="6">
        <f t="shared" ca="1" si="5"/>
        <v>1</v>
      </c>
      <c r="AP11" s="6">
        <f ca="1">IF(AO11=0,"",COUNTIF($AO$2:AO11,1))</f>
        <v>10</v>
      </c>
      <c r="AQ11" s="6">
        <f t="shared" ca="1" si="6"/>
        <v>7214</v>
      </c>
    </row>
    <row r="12" spans="1:43" ht="15.75" customHeight="1">
      <c r="A12" s="1"/>
      <c r="B12" s="1"/>
      <c r="C12" s="1"/>
      <c r="D12" s="14" t="s">
        <v>78</v>
      </c>
      <c r="E12" s="1"/>
      <c r="F12" s="1"/>
      <c r="G12" s="25" t="s">
        <v>51</v>
      </c>
      <c r="H12" s="1"/>
      <c r="I12" s="6" t="s">
        <v>52</v>
      </c>
      <c r="J12" s="6">
        <v>9353</v>
      </c>
      <c r="K12" s="1"/>
      <c r="L12" s="1"/>
      <c r="M12" s="1"/>
      <c r="N12" s="1"/>
      <c r="O12" s="1"/>
      <c r="P12" s="14" t="s">
        <v>93</v>
      </c>
      <c r="Q12" s="1">
        <f ca="1">IF(ISERROR(SEARCH(INDIRECT(CELL("address")),P12:P137)),0,1)</f>
        <v>1</v>
      </c>
      <c r="R12" s="1">
        <f ca="1">IF(Q12=0,"",COUNTIF($Q$2:Q12,1))</f>
        <v>11</v>
      </c>
      <c r="S12" s="1" t="str">
        <f ca="1">IFERROR(INDEX(P:P, MATCH(ROW(R11),R:R,0)),"")</f>
        <v>HQ-HR Support Services</v>
      </c>
      <c r="T12" s="1"/>
      <c r="U12" s="1"/>
      <c r="V12" s="25" t="s">
        <v>59</v>
      </c>
      <c r="W12">
        <f ca="1">IF(ISERROR(SEARCH(INDIRECT(CELL("address")),V12:V168)),0,1)</f>
        <v>1</v>
      </c>
      <c r="X12">
        <f ca="1">IF(W12=0,"",COUNTIF($W$2:W12,1))</f>
        <v>11</v>
      </c>
      <c r="Y12" t="str">
        <f ca="1">IFERROR(INDEX(V:V, MATCH(ROW(X11),X:X,0)),"")</f>
        <v>Repairs &amp; maintenance - motor vehicles</v>
      </c>
      <c r="AI12" s="7" t="s">
        <v>60</v>
      </c>
      <c r="AJ12" s="6">
        <f t="shared" ca="1" si="3"/>
        <v>1</v>
      </c>
      <c r="AK12" s="6">
        <f ca="1">IF(AJ12=0,"",COUNTIF($AJ$2:AJ12,1))</f>
        <v>11</v>
      </c>
      <c r="AL12" s="6" t="str">
        <f t="shared" ca="1" si="4"/>
        <v>Citibank Singapore Limited</v>
      </c>
      <c r="AN12" s="7">
        <v>9201</v>
      </c>
      <c r="AO12" s="6">
        <f t="shared" ca="1" si="5"/>
        <v>1</v>
      </c>
      <c r="AP12" s="6">
        <f ca="1">IF(AO12=0,"",COUNTIF($AO$2:AO12,1))</f>
        <v>11</v>
      </c>
      <c r="AQ12" s="6">
        <f t="shared" ca="1" si="6"/>
        <v>9201</v>
      </c>
    </row>
    <row r="13" spans="1:43" ht="15.75" customHeight="1">
      <c r="A13" s="1"/>
      <c r="B13" s="1"/>
      <c r="C13" s="1"/>
      <c r="D13" s="14" t="s">
        <v>89</v>
      </c>
      <c r="E13" s="1"/>
      <c r="F13" s="1"/>
      <c r="G13" s="25" t="s">
        <v>235</v>
      </c>
      <c r="H13" s="1"/>
      <c r="I13" s="6" t="s">
        <v>54</v>
      </c>
      <c r="J13" s="6">
        <v>7986</v>
      </c>
      <c r="K13" s="1"/>
      <c r="L13" s="1"/>
      <c r="M13" s="1"/>
      <c r="N13" s="1"/>
      <c r="O13" s="1"/>
      <c r="P13" s="14" t="s">
        <v>98</v>
      </c>
      <c r="Q13" s="1">
        <f ca="1">IF(ISERROR(SEARCH(INDIRECT(CELL("address")),P13:P138)),0,1)</f>
        <v>1</v>
      </c>
      <c r="R13" s="1">
        <f ca="1">IF(Q13=0,"",COUNTIF($Q$2:Q13,1))</f>
        <v>12</v>
      </c>
      <c r="S13" s="1" t="str">
        <f ca="1">IFERROR(INDEX(P:P, MATCH(ROW(R12),R:R,0)),"")</f>
        <v>HQ-Tech Services</v>
      </c>
      <c r="T13" s="1"/>
      <c r="U13" s="1"/>
      <c r="V13" s="25" t="s">
        <v>62</v>
      </c>
      <c r="W13">
        <f ca="1">IF(ISERROR(SEARCH(INDIRECT(CELL("address")),V13:V169)),0,1)</f>
        <v>1</v>
      </c>
      <c r="X13">
        <f ca="1">IF(W13=0,"",COUNTIF($W$2:W13,1))</f>
        <v>12</v>
      </c>
      <c r="Y13" t="str">
        <f ca="1">IFERROR(INDEX(V:V, MATCH(ROW(X12),X:X,0)),"")</f>
        <v>Subscriptions - company memberships</v>
      </c>
      <c r="AI13" s="6" t="s">
        <v>63</v>
      </c>
      <c r="AJ13" s="6">
        <f t="shared" ca="1" si="3"/>
        <v>1</v>
      </c>
      <c r="AK13" s="6">
        <f ca="1">IF(AJ13=0,"",COUNTIF($AJ$2:AJ13,1))</f>
        <v>12</v>
      </c>
      <c r="AL13" s="6" t="str">
        <f t="shared" ca="1" si="4"/>
        <v>Commerzbank Aktiengesellschaft</v>
      </c>
      <c r="AN13" s="6">
        <v>8606</v>
      </c>
      <c r="AO13" s="6">
        <f t="shared" ca="1" si="5"/>
        <v>1</v>
      </c>
      <c r="AP13" s="6">
        <f ca="1">IF(AO13=0,"",COUNTIF($AO$2:AO13,1))</f>
        <v>12</v>
      </c>
      <c r="AQ13" s="6">
        <f t="shared" ca="1" si="6"/>
        <v>8606</v>
      </c>
    </row>
    <row r="14" spans="1:43" ht="15.75" customHeight="1">
      <c r="A14" s="1"/>
      <c r="B14" s="1"/>
      <c r="C14" s="1"/>
      <c r="D14" s="14" t="s">
        <v>190</v>
      </c>
      <c r="E14" s="1"/>
      <c r="F14" s="1"/>
      <c r="G14" s="24" t="s">
        <v>56</v>
      </c>
      <c r="H14" s="1"/>
      <c r="I14" s="7" t="s">
        <v>57</v>
      </c>
      <c r="J14" s="7">
        <v>7214</v>
      </c>
      <c r="K14" s="1"/>
      <c r="L14" s="1"/>
      <c r="M14" s="1"/>
      <c r="N14" s="1"/>
      <c r="O14" s="1"/>
      <c r="P14" s="14" t="s">
        <v>178</v>
      </c>
      <c r="Q14" s="1">
        <f ca="1">IF(ISERROR(SEARCH(INDIRECT(CELL("address")),P14:P139)),0,1)</f>
        <v>1</v>
      </c>
      <c r="R14" s="1">
        <f ca="1">IF(Q14=0,"",COUNTIF($Q$2:Q14,1))</f>
        <v>13</v>
      </c>
      <c r="S14" s="1" t="str">
        <f ca="1">IFERROR(INDEX(P:P, MATCH(ROW(R13),R:R,0)),"")</f>
        <v>HQ-HR L &amp; D</v>
      </c>
      <c r="T14" s="1"/>
      <c r="U14" s="1"/>
      <c r="V14" s="25" t="s">
        <v>65</v>
      </c>
      <c r="W14">
        <f ca="1">IF(ISERROR(SEARCH(INDIRECT(CELL("address")),V14:V170)),0,1)</f>
        <v>1</v>
      </c>
      <c r="X14">
        <f ca="1">IF(W14=0,"",COUNTIF($W$2:W14,1))</f>
        <v>13</v>
      </c>
      <c r="Y14" t="str">
        <f ca="1">IFERROR(INDEX(V:V, MATCH(ROW(X13),X:X,0)),"")</f>
        <v>Subscriptions - employee memberships</v>
      </c>
      <c r="AI14" s="6" t="s">
        <v>66</v>
      </c>
      <c r="AJ14" s="6">
        <f t="shared" ca="1" si="3"/>
        <v>1</v>
      </c>
      <c r="AK14" s="6">
        <f ca="1">IF(AJ14=0,"",COUNTIF($AJ$2:AJ14,1))</f>
        <v>13</v>
      </c>
      <c r="AL14" s="6" t="str">
        <f t="shared" ca="1" si="4"/>
        <v>Crédit Agricole Corporate And Investment Bank</v>
      </c>
      <c r="AN14" s="6">
        <v>7135</v>
      </c>
      <c r="AO14" s="6">
        <f t="shared" ca="1" si="5"/>
        <v>1</v>
      </c>
      <c r="AP14" s="6">
        <f ca="1">IF(AO14=0,"",COUNTIF($AO$2:AO14,1))</f>
        <v>13</v>
      </c>
      <c r="AQ14" s="6">
        <f t="shared" ca="1" si="6"/>
        <v>7135</v>
      </c>
    </row>
    <row r="15" spans="1:43" ht="15.75" customHeight="1">
      <c r="A15" s="1"/>
      <c r="B15" s="1"/>
      <c r="C15" s="1"/>
      <c r="D15" s="14" t="s">
        <v>93</v>
      </c>
      <c r="E15" s="1"/>
      <c r="F15" s="1"/>
      <c r="G15" s="25" t="s">
        <v>59</v>
      </c>
      <c r="H15" s="1"/>
      <c r="I15" s="7" t="s">
        <v>60</v>
      </c>
      <c r="J15" s="7">
        <v>9201</v>
      </c>
      <c r="K15" s="1"/>
      <c r="L15" s="1"/>
      <c r="M15" s="1"/>
      <c r="N15" s="1"/>
      <c r="O15" s="1"/>
      <c r="P15" s="14" t="s">
        <v>61</v>
      </c>
      <c r="Q15" s="1">
        <f ca="1">IF(ISERROR(SEARCH(INDIRECT(CELL("address")),P15:P140)),0,1)</f>
        <v>1</v>
      </c>
      <c r="R15" s="1">
        <f ca="1">IF(Q15=0,"",COUNTIF($Q$2:Q15,1))</f>
        <v>14</v>
      </c>
      <c r="S15" s="1" t="str">
        <f ca="1">IFERROR(INDEX(P:P, MATCH(ROW(R14),R:R,0)),"")</f>
        <v>CGH UET</v>
      </c>
      <c r="T15" s="1"/>
      <c r="U15" s="1"/>
      <c r="V15" s="24" t="s">
        <v>236</v>
      </c>
      <c r="W15">
        <f ca="1">IF(ISERROR(SEARCH(INDIRECT(CELL("address")),V15:V171)),0,1)</f>
        <v>1</v>
      </c>
      <c r="X15">
        <f ca="1">IF(W15=0,"",COUNTIF($W$2:W15,1))</f>
        <v>14</v>
      </c>
      <c r="Y15" t="str">
        <f ca="1">IFERROR(INDEX(V:V, MATCH(ROW(X14),X:X,0)),"")</f>
        <v>Supplies</v>
      </c>
      <c r="AI15" s="6" t="s">
        <v>68</v>
      </c>
      <c r="AJ15" s="6">
        <f t="shared" ca="1" si="3"/>
        <v>1</v>
      </c>
      <c r="AK15" s="6">
        <f ca="1">IF(AJ15=0,"",COUNTIF($AJ$2:AJ15,1))</f>
        <v>14</v>
      </c>
      <c r="AL15" s="6" t="str">
        <f t="shared" ca="1" si="4"/>
        <v>DBS Bank Limited</v>
      </c>
      <c r="AN15" s="6">
        <v>7171</v>
      </c>
      <c r="AO15" s="6">
        <f t="shared" ca="1" si="5"/>
        <v>1</v>
      </c>
      <c r="AP15" s="6">
        <f ca="1">IF(AO15=0,"",COUNTIF($AO$2:AO15,1))</f>
        <v>14</v>
      </c>
      <c r="AQ15" s="6">
        <f t="shared" ca="1" si="6"/>
        <v>7171</v>
      </c>
    </row>
    <row r="16" spans="1:43" ht="15.75" customHeight="1">
      <c r="A16" s="1"/>
      <c r="B16" s="1"/>
      <c r="C16" s="1"/>
      <c r="D16" s="14" t="s">
        <v>98</v>
      </c>
      <c r="E16" s="1"/>
      <c r="F16" s="1"/>
      <c r="G16" s="25" t="s">
        <v>62</v>
      </c>
      <c r="H16" s="1"/>
      <c r="I16" s="6" t="s">
        <v>63</v>
      </c>
      <c r="J16" s="6">
        <v>8606</v>
      </c>
      <c r="K16" s="1"/>
      <c r="L16" s="1"/>
      <c r="M16" s="1"/>
      <c r="N16" s="1"/>
      <c r="O16" s="1"/>
      <c r="P16" s="14" t="s">
        <v>58</v>
      </c>
      <c r="Q16" s="1">
        <f ca="1">IF(ISERROR(SEARCH(INDIRECT(CELL("address")),P16:P141)),0,1)</f>
        <v>1</v>
      </c>
      <c r="R16" s="1">
        <f ca="1">IF(Q16=0,"",COUNTIF($Q$2:Q16,1))</f>
        <v>15</v>
      </c>
      <c r="S16" s="1" t="str">
        <f ca="1">IFERROR(INDEX(P:P, MATCH(ROW(R15),R:R,0)),"")</f>
        <v>CGH HSK</v>
      </c>
      <c r="T16" s="1"/>
      <c r="U16" s="1"/>
      <c r="V16" s="25" t="s">
        <v>20</v>
      </c>
      <c r="W16">
        <f ca="1">IF(ISERROR(SEARCH(INDIRECT(CELL("address")),V16:V172)),0,1)</f>
        <v>1</v>
      </c>
      <c r="X16">
        <f ca="1">IF(W16=0,"",COUNTIF($W$2:W16,1))</f>
        <v>15</v>
      </c>
      <c r="Y16" t="str">
        <f ca="1">IFERROR(INDEX(V:V, MATCH(ROW(X15),X:X,0)),"")</f>
        <v>Telecommunication charges</v>
      </c>
      <c r="AI16" s="6" t="s">
        <v>69</v>
      </c>
      <c r="AJ16" s="6">
        <f t="shared" ca="1" si="3"/>
        <v>1</v>
      </c>
      <c r="AK16" s="6">
        <f ca="1">IF(AJ16=0,"",COUNTIF($AJ$2:AJ16,1))</f>
        <v>15</v>
      </c>
      <c r="AL16" s="6" t="str">
        <f t="shared" ca="1" si="4"/>
        <v>Deutsche Bank AG</v>
      </c>
      <c r="AN16" s="6">
        <v>7463</v>
      </c>
      <c r="AO16" s="6">
        <f t="shared" ca="1" si="5"/>
        <v>1</v>
      </c>
      <c r="AP16" s="6">
        <f ca="1">IF(AO16=0,"",COUNTIF($AO$2:AO16,1))</f>
        <v>15</v>
      </c>
      <c r="AQ16" s="6">
        <f t="shared" ca="1" si="6"/>
        <v>7463</v>
      </c>
    </row>
    <row r="17" spans="1:43" ht="15.75" customHeight="1">
      <c r="A17" s="1"/>
      <c r="B17" s="1"/>
      <c r="C17" s="1"/>
      <c r="D17" s="14" t="s">
        <v>178</v>
      </c>
      <c r="E17" s="1"/>
      <c r="F17" s="1"/>
      <c r="G17" s="25" t="s">
        <v>65</v>
      </c>
      <c r="H17" s="1"/>
      <c r="I17" s="6" t="s">
        <v>66</v>
      </c>
      <c r="J17" s="6">
        <v>7135</v>
      </c>
      <c r="K17" s="1"/>
      <c r="L17" s="1"/>
      <c r="M17" s="1"/>
      <c r="N17" s="1"/>
      <c r="O17" s="1"/>
      <c r="P17" s="14" t="s">
        <v>113</v>
      </c>
      <c r="Q17" s="1">
        <f ca="1">IF(ISERROR(SEARCH(INDIRECT(CELL("address")),P17:P142)),0,1)</f>
        <v>1</v>
      </c>
      <c r="R17" s="1">
        <f ca="1">IF(Q17=0,"",COUNTIF($Q$2:Q17,1))</f>
        <v>16</v>
      </c>
      <c r="S17" s="1" t="str">
        <f ca="1">IFERROR(INDEX(P:P, MATCH(ROW(R16),R:R,0)),"")</f>
        <v>KKWCH</v>
      </c>
      <c r="T17" s="1"/>
      <c r="U17" s="1"/>
      <c r="V17" s="25" t="s">
        <v>71</v>
      </c>
      <c r="W17">
        <f ca="1">IF(ISERROR(SEARCH(INDIRECT(CELL("address")),V17:V173)),0,1)</f>
        <v>1</v>
      </c>
      <c r="X17">
        <f ca="1">IF(W17=0,"",COUNTIF($W$2:W17,1))</f>
        <v>16</v>
      </c>
      <c r="Y17" t="str">
        <f ca="1">IFERROR(INDEX(V:V, MATCH(ROW(X16),X:X,0)),"")</f>
        <v>Tendering expenses</v>
      </c>
      <c r="AI17" s="6" t="s">
        <v>72</v>
      </c>
      <c r="AJ17" s="6">
        <f t="shared" ca="1" si="3"/>
        <v>1</v>
      </c>
      <c r="AK17" s="6">
        <f ca="1">IF(AJ17=0,"",COUNTIF($AJ$2:AJ17,1))</f>
        <v>16</v>
      </c>
      <c r="AL17" s="6" t="str">
        <f t="shared" ca="1" si="4"/>
        <v>DNB Bank ASA</v>
      </c>
      <c r="AN17" s="6">
        <v>7737</v>
      </c>
      <c r="AO17" s="6">
        <f t="shared" ca="1" si="5"/>
        <v>1</v>
      </c>
      <c r="AP17" s="6">
        <f ca="1">IF(AO17=0,"",COUNTIF($AO$2:AO17,1))</f>
        <v>16</v>
      </c>
      <c r="AQ17" s="6">
        <f t="shared" ca="1" si="6"/>
        <v>7737</v>
      </c>
    </row>
    <row r="18" spans="1:43" ht="15.75" customHeight="1">
      <c r="A18" s="1"/>
      <c r="B18" s="1"/>
      <c r="C18" s="1"/>
      <c r="D18" s="14" t="s">
        <v>61</v>
      </c>
      <c r="E18" s="1"/>
      <c r="F18" s="1"/>
      <c r="G18" s="24" t="s">
        <v>236</v>
      </c>
      <c r="H18" s="1"/>
      <c r="I18" s="6" t="s">
        <v>68</v>
      </c>
      <c r="J18" s="6">
        <v>7171</v>
      </c>
      <c r="K18" s="1"/>
      <c r="L18" s="1"/>
      <c r="M18" s="1"/>
      <c r="N18" s="1"/>
      <c r="O18" s="1"/>
      <c r="P18" s="14" t="s">
        <v>170</v>
      </c>
      <c r="Q18" s="1">
        <f ca="1">IF(ISERROR(SEARCH(INDIRECT(CELL("address")),P18:P143)),0,1)</f>
        <v>1</v>
      </c>
      <c r="R18" s="1">
        <f ca="1">IF(Q18=0,"",COUNTIF($Q$2:Q18,1))</f>
        <v>17</v>
      </c>
      <c r="S18" s="1" t="str">
        <f ca="1">IFERROR(INDEX(P:P, MATCH(ROW(R17),R:R,0)),"")</f>
        <v>SL-ELDE</v>
      </c>
      <c r="T18" s="1"/>
      <c r="U18" s="1"/>
      <c r="V18" s="24" t="s">
        <v>237</v>
      </c>
      <c r="W18">
        <f ca="1">IF(ISERROR(SEARCH(INDIRECT(CELL("address")),V18:V174)),0,1)</f>
        <v>1</v>
      </c>
      <c r="X18">
        <f ca="1">IF(W18=0,"",COUNTIF($W$2:W18,1))</f>
        <v>17</v>
      </c>
      <c r="Y18" t="str">
        <f ca="1">IFERROR(INDEX(V:V, MATCH(ROW(X17),X:X,0)),"")</f>
        <v>Training &amp; Educatoin</v>
      </c>
      <c r="AI18" s="6" t="s">
        <v>74</v>
      </c>
      <c r="AJ18" s="6">
        <f t="shared" ca="1" si="3"/>
        <v>1</v>
      </c>
      <c r="AK18" s="6">
        <f ca="1">IF(AJ18=0,"",COUNTIF($AJ$2:AJ18,1))</f>
        <v>17</v>
      </c>
      <c r="AL18" s="6" t="str">
        <f t="shared" ca="1" si="4"/>
        <v>First Commercial Bank</v>
      </c>
      <c r="AN18" s="6">
        <v>7764</v>
      </c>
      <c r="AO18" s="6">
        <f t="shared" ca="1" si="5"/>
        <v>1</v>
      </c>
      <c r="AP18" s="6">
        <f ca="1">IF(AO18=0,"",COUNTIF($AO$2:AO18,1))</f>
        <v>17</v>
      </c>
      <c r="AQ18" s="6">
        <f t="shared" ca="1" si="6"/>
        <v>7764</v>
      </c>
    </row>
    <row r="19" spans="1:43" ht="15.75" customHeight="1">
      <c r="A19" s="1"/>
      <c r="B19" s="1"/>
      <c r="C19" s="1"/>
      <c r="D19" s="14" t="s">
        <v>58</v>
      </c>
      <c r="E19" s="1"/>
      <c r="F19" s="1"/>
      <c r="G19" s="25" t="s">
        <v>20</v>
      </c>
      <c r="H19" s="1"/>
      <c r="I19" s="6" t="s">
        <v>69</v>
      </c>
      <c r="J19" s="6">
        <v>7463</v>
      </c>
      <c r="K19" s="1"/>
      <c r="L19" s="1"/>
      <c r="M19" s="1"/>
      <c r="N19" s="1"/>
      <c r="O19" s="1"/>
      <c r="P19" s="14" t="s">
        <v>53</v>
      </c>
      <c r="Q19" s="1">
        <f ca="1">IF(ISERROR(SEARCH(INDIRECT(CELL("address")),P19:P144)),0,1)</f>
        <v>1</v>
      </c>
      <c r="R19" s="1">
        <f ca="1">IF(Q19=0,"",COUNTIF($Q$2:Q19,1))</f>
        <v>18</v>
      </c>
      <c r="S19" s="1" t="str">
        <f ca="1">IFERROR(INDEX(P:P, MATCH(ROW(R18),R:R,0)),"")</f>
        <v>BVH</v>
      </c>
      <c r="T19" s="1"/>
      <c r="U19" s="1"/>
      <c r="V19" s="25" t="s">
        <v>76</v>
      </c>
      <c r="W19">
        <f ca="1">IF(ISERROR(SEARCH(INDIRECT(CELL("address")),V19:V175)),0,1)</f>
        <v>1</v>
      </c>
      <c r="X19">
        <f ca="1">IF(W19=0,"",COUNTIF($W$2:W19,1))</f>
        <v>18</v>
      </c>
      <c r="Y19" t="str">
        <f ca="1">IFERROR(INDEX(V:V, MATCH(ROW(X18),X:X,0)),"")</f>
        <v>Travelling expenses - local transport</v>
      </c>
      <c r="AI19" s="6" t="s">
        <v>77</v>
      </c>
      <c r="AJ19" s="6">
        <f t="shared" ca="1" si="3"/>
        <v>1</v>
      </c>
      <c r="AK19" s="6">
        <f ca="1">IF(AJ19=0,"",COUNTIF($AJ$2:AJ19,1))</f>
        <v>18</v>
      </c>
      <c r="AL19" s="6" t="str">
        <f t="shared" ca="1" si="4"/>
        <v>HL Bank</v>
      </c>
      <c r="AN19" s="6">
        <v>7287</v>
      </c>
      <c r="AO19" s="6">
        <f t="shared" ca="1" si="5"/>
        <v>1</v>
      </c>
      <c r="AP19" s="6">
        <f ca="1">IF(AO19=0,"",COUNTIF($AO$2:AO19,1))</f>
        <v>18</v>
      </c>
      <c r="AQ19" s="6">
        <f t="shared" ca="1" si="6"/>
        <v>7287</v>
      </c>
    </row>
    <row r="20" spans="1:43" ht="15.75" customHeight="1">
      <c r="A20" s="1"/>
      <c r="B20" s="1"/>
      <c r="C20" s="1"/>
      <c r="D20" s="14" t="s">
        <v>113</v>
      </c>
      <c r="E20" s="1"/>
      <c r="F20" s="1"/>
      <c r="G20" s="25" t="s">
        <v>71</v>
      </c>
      <c r="H20" s="1"/>
      <c r="I20" s="6" t="s">
        <v>72</v>
      </c>
      <c r="J20" s="6">
        <v>7737</v>
      </c>
      <c r="K20" s="1"/>
      <c r="L20" s="1"/>
      <c r="M20" s="1"/>
      <c r="N20" s="1"/>
      <c r="O20" s="1"/>
      <c r="P20" s="14" t="s">
        <v>136</v>
      </c>
      <c r="Q20" s="1">
        <f ca="1">IF(ISERROR(SEARCH(INDIRECT(CELL("address")),P20:P145)),0,1)</f>
        <v>1</v>
      </c>
      <c r="R20" s="1">
        <f ca="1">IF(Q20=0,"",COUNTIF($Q$2:Q20,1))</f>
        <v>19</v>
      </c>
      <c r="S20" s="1" t="str">
        <f ca="1">IFERROR(INDEX(P:P, MATCH(ROW(R19),R:R,0)),"")</f>
        <v>NUH UET</v>
      </c>
      <c r="T20" s="1"/>
      <c r="U20" s="1"/>
      <c r="V20" s="25" t="s">
        <v>238</v>
      </c>
      <c r="W20">
        <f ca="1">IF(ISERROR(SEARCH(INDIRECT(CELL("address")),V20:V176)),0,1)</f>
        <v>1</v>
      </c>
      <c r="X20">
        <f ca="1">IF(W20=0,"",COUNTIF($W$2:W20,1))</f>
        <v>19</v>
      </c>
      <c r="Y20" t="str">
        <f ca="1">IFERROR(INDEX(V:V, MATCH(ROW(X19),X:X,0)),"")</f>
        <v xml:space="preserve">Travelling expenses - private vehicle </v>
      </c>
      <c r="AI20" s="7" t="s">
        <v>79</v>
      </c>
      <c r="AJ20" s="6">
        <f t="shared" ca="1" si="3"/>
        <v>1</v>
      </c>
      <c r="AK20" s="6">
        <f ca="1">IF(AJ20=0,"",COUNTIF($AJ$2:AJ20,1))</f>
        <v>19</v>
      </c>
      <c r="AL20" s="6" t="str">
        <f t="shared" ca="1" si="4"/>
        <v>Hongkong And Shanghai Banking Corporation Limited (Corporate)</v>
      </c>
      <c r="AN20" s="7">
        <v>7232</v>
      </c>
      <c r="AO20" s="6">
        <f t="shared" ca="1" si="5"/>
        <v>1</v>
      </c>
      <c r="AP20" s="6">
        <f ca="1">IF(AO20=0,"",COUNTIF($AO$2:AO20,1))</f>
        <v>19</v>
      </c>
      <c r="AQ20" s="6">
        <f t="shared" ca="1" si="6"/>
        <v>7232</v>
      </c>
    </row>
    <row r="21" spans="1:43" ht="15.75" customHeight="1">
      <c r="A21" s="1"/>
      <c r="B21" s="1"/>
      <c r="C21" s="1"/>
      <c r="D21" s="14" t="s">
        <v>170</v>
      </c>
      <c r="E21" s="1"/>
      <c r="F21" s="1"/>
      <c r="G21" s="24" t="s">
        <v>237</v>
      </c>
      <c r="H21" s="1"/>
      <c r="I21" s="6" t="s">
        <v>74</v>
      </c>
      <c r="J21" s="6">
        <v>7764</v>
      </c>
      <c r="K21" s="1"/>
      <c r="L21" s="1"/>
      <c r="M21" s="1"/>
      <c r="N21" s="1"/>
      <c r="O21" s="1"/>
      <c r="P21" s="14" t="s">
        <v>161</v>
      </c>
      <c r="Q21" s="1">
        <f ca="1">IF(ISERROR(SEARCH(INDIRECT(CELL("address")),P21:P146)),0,1)</f>
        <v>1</v>
      </c>
      <c r="R21" s="1">
        <f ca="1">IF(Q21=0,"",COUNTIF($Q$2:Q21,1))</f>
        <v>20</v>
      </c>
      <c r="S21" s="1" t="str">
        <f ca="1">IFERROR(INDEX(P:P, MATCH(ROW(R20),R:R,0)),"")</f>
        <v>TTSH UET</v>
      </c>
      <c r="T21" s="1"/>
      <c r="U21" s="1"/>
      <c r="V21" s="26" t="s">
        <v>239</v>
      </c>
      <c r="W21">
        <f ca="1">IF(ISERROR(SEARCH(INDIRECT(CELL("address")),V21:V177)),0,1)</f>
        <v>1</v>
      </c>
      <c r="X21">
        <f ca="1">IF(W21=0,"",COUNTIF($W$2:W21,1))</f>
        <v>20</v>
      </c>
      <c r="Y21" t="str">
        <f ca="1">IFERROR(INDEX(V:V, MATCH(ROW(X20),X:X,0)),"")</f>
        <v>Travelling Private Car</v>
      </c>
      <c r="AI21" s="8" t="s">
        <v>81</v>
      </c>
      <c r="AJ21" s="6">
        <f t="shared" ca="1" si="3"/>
        <v>1</v>
      </c>
      <c r="AK21" s="6">
        <f ca="1">IF(AJ21=0,"",COUNTIF($AJ$2:AJ21,1))</f>
        <v>20</v>
      </c>
      <c r="AL21" s="6" t="str">
        <f t="shared" ca="1" si="4"/>
        <v>HSBC Bank (Singapore) Limited (Personal)</v>
      </c>
      <c r="AN21" s="3">
        <v>9548</v>
      </c>
      <c r="AO21" s="6">
        <f t="shared" ca="1" si="5"/>
        <v>1</v>
      </c>
      <c r="AP21" s="6">
        <f ca="1">IF(AO21=0,"",COUNTIF($AO$2:AO21,1))</f>
        <v>20</v>
      </c>
      <c r="AQ21" s="6">
        <f t="shared" ca="1" si="6"/>
        <v>9548</v>
      </c>
    </row>
    <row r="22" spans="1:43" ht="15.75" customHeight="1">
      <c r="A22" s="1"/>
      <c r="B22" s="1"/>
      <c r="C22" s="1"/>
      <c r="D22" s="14" t="s">
        <v>53</v>
      </c>
      <c r="E22" s="1"/>
      <c r="F22" s="1"/>
      <c r="G22" s="25" t="s">
        <v>76</v>
      </c>
      <c r="H22" s="1"/>
      <c r="I22" s="6" t="s">
        <v>77</v>
      </c>
      <c r="J22" s="6">
        <v>7287</v>
      </c>
      <c r="K22" s="1"/>
      <c r="L22" s="1"/>
      <c r="M22" s="1"/>
      <c r="N22" s="1"/>
      <c r="O22" s="1"/>
      <c r="P22" s="14" t="s">
        <v>47</v>
      </c>
      <c r="Q22" s="1">
        <f ca="1">IF(ISERROR(SEARCH(INDIRECT(CELL("address")),P22:P147)),0,1)</f>
        <v>1</v>
      </c>
      <c r="R22" s="1">
        <f ca="1">IF(Q22=0,"",COUNTIF($Q$2:Q22,1))</f>
        <v>21</v>
      </c>
      <c r="S22" s="1" t="str">
        <f ca="1">IFERROR(INDEX(P:P, MATCH(ROW(R21),R:R,0)),"")</f>
        <v>BMH</v>
      </c>
      <c r="T22" s="1"/>
      <c r="U22" s="1"/>
      <c r="V22" s="24" t="s">
        <v>82</v>
      </c>
      <c r="W22">
        <f ca="1">IF(ISERROR(SEARCH(INDIRECT(CELL("address")),V22:V178)),0,1)</f>
        <v>1</v>
      </c>
      <c r="X22">
        <f ca="1">IF(W22=0,"",COUNTIF($W$2:W22,1))</f>
        <v>21</v>
      </c>
      <c r="Y22" t="str">
        <f ca="1">IFERROR(INDEX(V:V, MATCH(ROW(X21),X:X,0)),"")</f>
        <v>Uniforms</v>
      </c>
      <c r="AI22" s="6" t="s">
        <v>83</v>
      </c>
      <c r="AJ22" s="6">
        <f t="shared" ca="1" si="3"/>
        <v>1</v>
      </c>
      <c r="AK22" s="6">
        <f ca="1">IF(AJ22=0,"",COUNTIF($AJ$2:AJ22,1))</f>
        <v>21</v>
      </c>
      <c r="AL22" s="6" t="str">
        <f t="shared" ca="1" si="4"/>
        <v>ICICI Bank Limited</v>
      </c>
      <c r="AN22" s="6">
        <v>9186</v>
      </c>
      <c r="AO22" s="6">
        <f t="shared" ca="1" si="5"/>
        <v>1</v>
      </c>
      <c r="AP22" s="6">
        <f ca="1">IF(AO22=0,"",COUNTIF($AO$2:AO22,1))</f>
        <v>21</v>
      </c>
      <c r="AQ22" s="6">
        <f t="shared" ca="1" si="6"/>
        <v>9186</v>
      </c>
    </row>
    <row r="23" spans="1:43" ht="15.75" customHeight="1" thickBot="1">
      <c r="A23" s="1"/>
      <c r="B23" s="1"/>
      <c r="C23" s="1"/>
      <c r="D23" s="14" t="s">
        <v>136</v>
      </c>
      <c r="E23" s="1"/>
      <c r="F23" s="1"/>
      <c r="G23" s="25" t="s">
        <v>238</v>
      </c>
      <c r="H23" s="1"/>
      <c r="I23" s="7" t="s">
        <v>79</v>
      </c>
      <c r="J23" s="7">
        <v>7232</v>
      </c>
      <c r="K23" s="1"/>
      <c r="L23" s="1"/>
      <c r="M23" s="1"/>
      <c r="N23" s="1"/>
      <c r="O23" s="1"/>
      <c r="P23" s="14" t="s">
        <v>125</v>
      </c>
      <c r="Q23" s="1">
        <f ca="1">IF(ISERROR(SEARCH(INDIRECT(CELL("address")),P23:P148)),0,1)</f>
        <v>1</v>
      </c>
      <c r="R23" s="1">
        <f ca="1">IF(Q23=0,"",COUNTIF($Q$2:Q23,1))</f>
        <v>22</v>
      </c>
      <c r="S23" s="1" t="str">
        <f ca="1">IFERROR(INDEX(P:P, MATCH(ROW(R22),R:R,0)),"")</f>
        <v>MFT</v>
      </c>
      <c r="T23" s="1"/>
      <c r="U23" s="1"/>
      <c r="V23" s="25" t="s">
        <v>84</v>
      </c>
      <c r="W23">
        <f ca="1">IF(ISERROR(SEARCH(INDIRECT(CELL("address")),V23:V179)),0,1)</f>
        <v>1</v>
      </c>
      <c r="X23">
        <f ca="1">IF(W23=0,"",COUNTIF($W$2:W23,1))</f>
        <v>22</v>
      </c>
      <c r="Y23" t="str">
        <f ca="1">IFERROR(INDEX(V:V, MATCH(ROW(X22),X:X,0)),"")</f>
        <v>Utilities - electricity/water</v>
      </c>
      <c r="AI23" s="6" t="s">
        <v>85</v>
      </c>
      <c r="AJ23" s="6">
        <f t="shared" ca="1" si="3"/>
        <v>1</v>
      </c>
      <c r="AK23" s="6">
        <f ca="1">IF(AJ23=0,"",COUNTIF($AJ$2:AJ23,1))</f>
        <v>22</v>
      </c>
      <c r="AL23" s="6" t="str">
        <f t="shared" ca="1" si="4"/>
        <v>Indian Bank</v>
      </c>
      <c r="AN23" s="6">
        <v>7241</v>
      </c>
      <c r="AO23" s="6">
        <f t="shared" ca="1" si="5"/>
        <v>1</v>
      </c>
      <c r="AP23" s="6">
        <f ca="1">IF(AO23=0,"",COUNTIF($AO$2:AO23,1))</f>
        <v>22</v>
      </c>
      <c r="AQ23" s="6">
        <f t="shared" ca="1" si="6"/>
        <v>7241</v>
      </c>
    </row>
    <row r="24" spans="1:43" ht="15.75" customHeight="1" thickBot="1">
      <c r="A24" s="1"/>
      <c r="B24" s="1"/>
      <c r="C24" s="1"/>
      <c r="D24" s="14" t="s">
        <v>161</v>
      </c>
      <c r="E24" s="1"/>
      <c r="F24" s="1"/>
      <c r="G24" s="26" t="s">
        <v>239</v>
      </c>
      <c r="H24" s="1"/>
      <c r="I24" s="8" t="s">
        <v>81</v>
      </c>
      <c r="J24" s="3">
        <v>9548</v>
      </c>
      <c r="K24" s="1"/>
      <c r="L24" s="1"/>
      <c r="M24" s="1"/>
      <c r="N24" s="1"/>
      <c r="O24" s="1"/>
      <c r="P24" s="14" t="s">
        <v>115</v>
      </c>
      <c r="Q24" s="1">
        <f ca="1">IF(ISERROR(SEARCH(INDIRECT(CELL("address")),P24:P149)),0,1)</f>
        <v>1</v>
      </c>
      <c r="R24" s="1">
        <f ca="1">IF(Q24=0,"",COUNTIF($Q$2:Q24,1))</f>
        <v>23</v>
      </c>
      <c r="S24" s="1" t="str">
        <f ca="1">IFERROR(INDEX(P:P, MATCH(ROW(R23),R:R,0)),"")</f>
        <v>KTP</v>
      </c>
      <c r="T24" s="1"/>
      <c r="U24" s="1"/>
      <c r="V24" s="27" t="s">
        <v>166</v>
      </c>
      <c r="W24" s="28">
        <f t="shared" ref="W24:W66" ca="1" si="7">IF(ISERROR(SEARCH(INDIRECT(CELL("address")),V24:V180)),0,1)</f>
        <v>1</v>
      </c>
      <c r="X24" s="28">
        <f ca="1">IF(W24=0,"",COUNTIF($W$2:W24,1))</f>
        <v>23</v>
      </c>
      <c r="Y24" s="28" t="str">
        <f t="shared" ref="Y24:Y66" ca="1" si="8">IFERROR(INDEX(V:V, MATCH(ROW(X23),X:X,0)),"")</f>
        <v>Training &amp; Education</v>
      </c>
      <c r="AI24" s="6" t="s">
        <v>86</v>
      </c>
      <c r="AJ24" s="6">
        <f t="shared" ca="1" si="3"/>
        <v>1</v>
      </c>
      <c r="AK24" s="6">
        <f ca="1">IF(AJ24=0,"",COUNTIF($AJ$2:AJ24,1))</f>
        <v>23</v>
      </c>
      <c r="AL24" s="6" t="str">
        <f t="shared" ca="1" si="4"/>
        <v>Indian Overseas Bank</v>
      </c>
      <c r="AN24" s="6">
        <v>7250</v>
      </c>
      <c r="AO24" s="6">
        <f t="shared" ca="1" si="5"/>
        <v>1</v>
      </c>
      <c r="AP24" s="6">
        <f ca="1">IF(AO24=0,"",COUNTIF($AO$2:AO24,1))</f>
        <v>23</v>
      </c>
      <c r="AQ24" s="6">
        <f t="shared" ca="1" si="6"/>
        <v>7250</v>
      </c>
    </row>
    <row r="25" spans="1:43" ht="15.75" customHeight="1" thickBot="1">
      <c r="A25" s="1"/>
      <c r="B25" s="1"/>
      <c r="C25" s="1"/>
      <c r="D25" s="14" t="s">
        <v>47</v>
      </c>
      <c r="E25" s="1"/>
      <c r="F25" s="1"/>
      <c r="G25" s="24" t="s">
        <v>82</v>
      </c>
      <c r="H25" s="1"/>
      <c r="I25" s="6" t="s">
        <v>83</v>
      </c>
      <c r="J25" s="6">
        <v>9186</v>
      </c>
      <c r="K25" s="1"/>
      <c r="L25" s="1"/>
      <c r="M25" s="1"/>
      <c r="N25" s="1"/>
      <c r="O25" s="1"/>
      <c r="P25" s="14" t="s">
        <v>159</v>
      </c>
      <c r="Q25" s="1">
        <f ca="1">IF(ISERROR(SEARCH(INDIRECT(CELL("address")),P25:P150)),0,1)</f>
        <v>1</v>
      </c>
      <c r="R25" s="1">
        <f ca="1">IF(Q25=0,"",COUNTIF($Q$2:Q25,1))</f>
        <v>24</v>
      </c>
      <c r="S25" s="1" t="str">
        <f ca="1">IFERROR(INDEX(P:P, MATCH(ROW(R24),R:R,0)),"")</f>
        <v>TTSH HA</v>
      </c>
      <c r="T25" s="1"/>
      <c r="U25" s="1"/>
      <c r="V25" s="27" t="s">
        <v>188</v>
      </c>
      <c r="W25" s="28">
        <f t="shared" ca="1" si="7"/>
        <v>1</v>
      </c>
      <c r="X25" s="28">
        <f ca="1">IF(W25=0,"",COUNTIF($W$2:W25,1))</f>
        <v>24</v>
      </c>
      <c r="Y25" s="28" t="str">
        <f t="shared" ca="1" si="8"/>
        <v>COS_Material/Services</v>
      </c>
      <c r="AI25" s="6" t="s">
        <v>87</v>
      </c>
      <c r="AJ25" s="6">
        <f t="shared" ca="1" si="3"/>
        <v>1</v>
      </c>
      <c r="AK25" s="6">
        <f ca="1">IF(AJ25=0,"",COUNTIF($AJ$2:AJ25,1))</f>
        <v>24</v>
      </c>
      <c r="AL25" s="6" t="str">
        <f t="shared" ca="1" si="4"/>
        <v>Industrial &amp; Commercial Bank Of China</v>
      </c>
      <c r="AN25" s="6">
        <v>8712</v>
      </c>
      <c r="AO25" s="6">
        <f t="shared" ca="1" si="5"/>
        <v>1</v>
      </c>
      <c r="AP25" s="6">
        <f ca="1">IF(AO25=0,"",COUNTIF($AO$2:AO25,1))</f>
        <v>24</v>
      </c>
      <c r="AQ25" s="6">
        <f t="shared" ca="1" si="6"/>
        <v>8712</v>
      </c>
    </row>
    <row r="26" spans="1:43" ht="15.75" customHeight="1" thickBot="1">
      <c r="A26" s="1"/>
      <c r="B26" s="1"/>
      <c r="C26" s="1"/>
      <c r="D26" s="14" t="s">
        <v>125</v>
      </c>
      <c r="E26" s="1"/>
      <c r="F26" s="1"/>
      <c r="G26" s="25" t="s">
        <v>84</v>
      </c>
      <c r="H26" s="1"/>
      <c r="I26" s="6" t="s">
        <v>85</v>
      </c>
      <c r="J26" s="6">
        <v>7241</v>
      </c>
      <c r="K26" s="1"/>
      <c r="L26" s="1"/>
      <c r="M26" s="1"/>
      <c r="N26" s="1"/>
      <c r="O26" s="1"/>
      <c r="P26" s="14" t="s">
        <v>32</v>
      </c>
      <c r="Q26" s="1">
        <f ca="1">IF(ISERROR(SEARCH(INDIRECT(CELL("address")),P26:P151)),0,1)</f>
        <v>1</v>
      </c>
      <c r="R26" s="1">
        <f ca="1">IF(Q26=0,"",COUNTIF($Q$2:Q26,1))</f>
        <v>25</v>
      </c>
      <c r="S26" s="1" t="str">
        <f ca="1">IFERROR(INDEX(P:P, MATCH(ROW(R25),R:R,0)),"")</f>
        <v>AH UET</v>
      </c>
      <c r="T26" s="1"/>
      <c r="U26" s="1"/>
      <c r="V26" s="27" t="s">
        <v>165</v>
      </c>
      <c r="W26" s="28">
        <f t="shared" ca="1" si="7"/>
        <v>1</v>
      </c>
      <c r="X26" s="28">
        <f ca="1">IF(W26=0,"",COUNTIF($W$2:W26,1))</f>
        <v>25</v>
      </c>
      <c r="Y26" s="28" t="str">
        <f t="shared" ca="1" si="8"/>
        <v>Durables - new fixed assets &lt; $2,000</v>
      </c>
      <c r="AI26" s="6" t="s">
        <v>88</v>
      </c>
      <c r="AJ26" s="6">
        <f t="shared" ca="1" si="3"/>
        <v>1</v>
      </c>
      <c r="AK26" s="6">
        <f ca="1">IF(AJ26=0,"",COUNTIF($AJ$2:AJ26,1))</f>
        <v>25</v>
      </c>
      <c r="AL26" s="6" t="str">
        <f t="shared" ca="1" si="4"/>
        <v>Intesa Sanpaolo S.P.A.</v>
      </c>
      <c r="AN26" s="6">
        <v>8350</v>
      </c>
      <c r="AO26" s="6">
        <f t="shared" ca="1" si="5"/>
        <v>1</v>
      </c>
      <c r="AP26" s="6">
        <f ca="1">IF(AO26=0,"",COUNTIF($AO$2:AO26,1))</f>
        <v>25</v>
      </c>
      <c r="AQ26" s="6">
        <f t="shared" ca="1" si="6"/>
        <v>8350</v>
      </c>
    </row>
    <row r="27" spans="1:43" ht="15.75" customHeight="1" thickBot="1">
      <c r="A27" s="1"/>
      <c r="B27" s="1"/>
      <c r="C27" s="1"/>
      <c r="D27" s="14" t="s">
        <v>115</v>
      </c>
      <c r="E27" s="1"/>
      <c r="F27" s="1"/>
      <c r="G27" s="27" t="s">
        <v>166</v>
      </c>
      <c r="H27" s="1"/>
      <c r="I27" s="6" t="s">
        <v>86</v>
      </c>
      <c r="J27" s="6">
        <v>7250</v>
      </c>
      <c r="K27" s="1"/>
      <c r="L27" s="1"/>
      <c r="M27" s="1"/>
      <c r="N27" s="1"/>
      <c r="O27" s="1"/>
      <c r="P27" s="14" t="s">
        <v>19</v>
      </c>
      <c r="Q27" s="1">
        <f ca="1">IF(ISERROR(SEARCH(INDIRECT(CELL("address")),P27:P152)),0,1)</f>
        <v>1</v>
      </c>
      <c r="R27" s="1">
        <f ca="1">IF(Q27=0,"",COUNTIF($Q$2:Q27,1))</f>
        <v>26</v>
      </c>
      <c r="S27" s="1" t="str">
        <f ca="1">IFERROR(INDEX(P:P, MATCH(ROW(R26),R:R,0)),"")</f>
        <v>AH HSK</v>
      </c>
      <c r="T27" s="1"/>
      <c r="U27" s="1"/>
      <c r="V27" s="27" t="s">
        <v>192</v>
      </c>
      <c r="W27" s="28">
        <f t="shared" ca="1" si="7"/>
        <v>1</v>
      </c>
      <c r="X27" s="28">
        <f ca="1">IF(W27=0,"",COUNTIF($W$2:W27,1))</f>
        <v>26</v>
      </c>
      <c r="Y27" s="28" t="str">
        <f t="shared" ca="1" si="8"/>
        <v>Printing &amp; Stationary, Newspaper</v>
      </c>
      <c r="AI27" s="6" t="s">
        <v>90</v>
      </c>
      <c r="AJ27" s="6">
        <f t="shared" ca="1" si="3"/>
        <v>1</v>
      </c>
      <c r="AK27" s="6">
        <f ca="1">IF(AJ27=0,"",COUNTIF($AJ$2:AJ27,1))</f>
        <v>26</v>
      </c>
      <c r="AL27" s="6" t="str">
        <f t="shared" ca="1" si="4"/>
        <v>JPMorgan Chase Bank, N.A.</v>
      </c>
      <c r="AN27" s="6">
        <v>7153</v>
      </c>
      <c r="AO27" s="6">
        <f t="shared" ca="1" si="5"/>
        <v>1</v>
      </c>
      <c r="AP27" s="6">
        <f ca="1">IF(AO27=0,"",COUNTIF($AO$2:AO27,1))</f>
        <v>26</v>
      </c>
      <c r="AQ27" s="6">
        <f t="shared" ca="1" si="6"/>
        <v>7153</v>
      </c>
    </row>
    <row r="28" spans="1:43" ht="15.75" customHeight="1" thickBot="1">
      <c r="A28" s="1"/>
      <c r="B28" s="1"/>
      <c r="C28" s="1"/>
      <c r="D28" s="14" t="s">
        <v>159</v>
      </c>
      <c r="E28" s="1"/>
      <c r="F28" s="1"/>
      <c r="G28" s="27" t="s">
        <v>188</v>
      </c>
      <c r="H28" s="1"/>
      <c r="I28" s="6" t="s">
        <v>87</v>
      </c>
      <c r="J28" s="6">
        <v>8712</v>
      </c>
      <c r="K28" s="1"/>
      <c r="L28" s="1"/>
      <c r="M28" s="1"/>
      <c r="N28" s="1"/>
      <c r="O28" s="1"/>
      <c r="P28" s="14" t="s">
        <v>152</v>
      </c>
      <c r="Q28" s="1">
        <f ca="1">IF(ISERROR(SEARCH(INDIRECT(CELL("address")),P28:P153)),0,1)</f>
        <v>1</v>
      </c>
      <c r="R28" s="1">
        <f ca="1">IF(Q28=0,"",COUNTIF($Q$2:Q28,1))</f>
        <v>27</v>
      </c>
      <c r="S28" s="1" t="str">
        <f ca="1">IFERROR(INDEX(P:P, MATCH(ROW(R27),R:R,0)),"")</f>
        <v>SBWS</v>
      </c>
      <c r="T28" s="1"/>
      <c r="U28" s="1"/>
      <c r="V28" s="27" t="s">
        <v>167</v>
      </c>
      <c r="W28" s="28">
        <f t="shared" ca="1" si="7"/>
        <v>1</v>
      </c>
      <c r="X28" s="28">
        <f ca="1">IF(W28=0,"",COUNTIF($W$2:W28,1))</f>
        <v>27</v>
      </c>
      <c r="Y28" s="28" t="str">
        <f t="shared" ca="1" si="8"/>
        <v>Travelling expenses - private vehicle</v>
      </c>
      <c r="AI28" s="6" t="s">
        <v>92</v>
      </c>
      <c r="AJ28" s="6">
        <f t="shared" ca="1" si="3"/>
        <v>1</v>
      </c>
      <c r="AK28" s="6">
        <f ca="1">IF(AJ28=0,"",COUNTIF($AJ$2:AJ28,1))</f>
        <v>27</v>
      </c>
      <c r="AL28" s="6" t="str">
        <f t="shared" ca="1" si="4"/>
        <v>Korea Exchange Bank</v>
      </c>
      <c r="AN28" s="6">
        <v>7490</v>
      </c>
      <c r="AO28" s="6">
        <f t="shared" ca="1" si="5"/>
        <v>1</v>
      </c>
      <c r="AP28" s="6">
        <f ca="1">IF(AO28=0,"",COUNTIF($AO$2:AO28,1))</f>
        <v>27</v>
      </c>
      <c r="AQ28" s="6">
        <f t="shared" ca="1" si="6"/>
        <v>7490</v>
      </c>
    </row>
    <row r="29" spans="1:43" ht="15.75" customHeight="1" thickBot="1">
      <c r="A29" s="1"/>
      <c r="B29" s="1"/>
      <c r="C29" s="1"/>
      <c r="D29" s="14" t="s">
        <v>32</v>
      </c>
      <c r="E29" s="1"/>
      <c r="F29" s="1"/>
      <c r="G29" s="27" t="s">
        <v>165</v>
      </c>
      <c r="H29" s="1"/>
      <c r="I29" s="6" t="s">
        <v>88</v>
      </c>
      <c r="J29" s="6">
        <v>8350</v>
      </c>
      <c r="K29" s="1"/>
      <c r="L29" s="1"/>
      <c r="M29" s="1"/>
      <c r="N29" s="1"/>
      <c r="O29" s="1"/>
      <c r="P29" s="14" t="s">
        <v>164</v>
      </c>
      <c r="Q29" s="1">
        <f ca="1">IF(ISERROR(SEARCH(INDIRECT(CELL("address")),P29:P154)),0,1)</f>
        <v>1</v>
      </c>
      <c r="R29" s="1">
        <f ca="1">IF(Q29=0,"",COUNTIF($Q$2:Q29,1))</f>
        <v>28</v>
      </c>
      <c r="S29" s="1" t="str">
        <f ca="1">IFERROR(INDEX(P:P, MATCH(ROW(R28),R:R,0)),"")</f>
        <v>YCH</v>
      </c>
      <c r="T29" s="1"/>
      <c r="U29" s="1"/>
      <c r="V29" s="27" t="s">
        <v>240</v>
      </c>
      <c r="W29" s="28">
        <f t="shared" ca="1" si="7"/>
        <v>1</v>
      </c>
      <c r="X29" s="28">
        <f ca="1">IF(W29=0,"",COUNTIF($W$2:W29,1))</f>
        <v>28</v>
      </c>
      <c r="Y29" s="28" t="str">
        <f t="shared" ca="1" si="8"/>
        <v>HQ - Medical</v>
      </c>
      <c r="AI29" s="7" t="s">
        <v>94</v>
      </c>
      <c r="AJ29" s="6">
        <f t="shared" ca="1" si="3"/>
        <v>1</v>
      </c>
      <c r="AK29" s="6">
        <f ca="1">IF(AJ29=0,"",COUNTIF($AJ$2:AJ29,1))</f>
        <v>28</v>
      </c>
      <c r="AL29" s="6" t="str">
        <f t="shared" ca="1" si="4"/>
        <v>Malayan Banking Berhad</v>
      </c>
      <c r="AN29" s="7">
        <v>9636</v>
      </c>
      <c r="AO29" s="6">
        <f t="shared" ca="1" si="5"/>
        <v>1</v>
      </c>
      <c r="AP29" s="6">
        <f ca="1">IF(AO29=0,"",COUNTIF($AO$2:AO29,1))</f>
        <v>28</v>
      </c>
      <c r="AQ29" s="6">
        <f t="shared" ca="1" si="6"/>
        <v>9636</v>
      </c>
    </row>
    <row r="30" spans="1:43" ht="16.5" thickBot="1">
      <c r="A30" s="1"/>
      <c r="B30" s="1"/>
      <c r="C30" s="1"/>
      <c r="D30" s="14" t="s">
        <v>19</v>
      </c>
      <c r="E30" s="1"/>
      <c r="F30" s="1"/>
      <c r="G30" s="27" t="s">
        <v>192</v>
      </c>
      <c r="H30" s="1"/>
      <c r="I30" s="6" t="s">
        <v>90</v>
      </c>
      <c r="J30" s="6">
        <v>7153</v>
      </c>
      <c r="K30" s="1"/>
      <c r="L30" s="1"/>
      <c r="M30" s="1"/>
      <c r="N30" s="1"/>
      <c r="O30" s="1"/>
      <c r="P30" s="14" t="s">
        <v>44</v>
      </c>
      <c r="Q30" s="1">
        <f ca="1">IF(ISERROR(SEARCH(INDIRECT(CELL("address")),P30:P155)),0,1)</f>
        <v>1</v>
      </c>
      <c r="R30" s="1">
        <f ca="1">IF(Q30=0,"",COUNTIF($Q$2:Q30,1))</f>
        <v>29</v>
      </c>
      <c r="S30" s="1" t="str">
        <f ca="1">IFERROR(INDEX(P:P, MATCH(ROW(R29),R:R,0)),"")</f>
        <v>ASSISI</v>
      </c>
      <c r="T30" s="1"/>
      <c r="U30" s="1"/>
      <c r="V30" s="27" t="s">
        <v>241</v>
      </c>
      <c r="W30" s="28">
        <f t="shared" ca="1" si="7"/>
        <v>1</v>
      </c>
      <c r="X30" s="28">
        <f ca="1">IF(W30=0,"",COUNTIF($W$2:W30,1))</f>
        <v>29</v>
      </c>
      <c r="Y30" s="28" t="str">
        <f t="shared" ca="1" si="8"/>
        <v>HQ - Recruitment</v>
      </c>
      <c r="AI30" s="7" t="s">
        <v>95</v>
      </c>
      <c r="AJ30" s="6">
        <f t="shared" ca="1" si="3"/>
        <v>1</v>
      </c>
      <c r="AK30" s="6">
        <f ca="1">IF(AJ30=0,"",COUNTIF($AJ$2:AJ30,1))</f>
        <v>29</v>
      </c>
      <c r="AL30" s="6" t="str">
        <f t="shared" ca="1" si="4"/>
        <v>Maybank Singapore Limited</v>
      </c>
      <c r="AN30" s="7">
        <v>7302</v>
      </c>
      <c r="AO30" s="6">
        <f t="shared" ca="1" si="5"/>
        <v>1</v>
      </c>
      <c r="AP30" s="6">
        <f ca="1">IF(AO30=0,"",COUNTIF($AO$2:AO30,1))</f>
        <v>29</v>
      </c>
      <c r="AQ30" s="6">
        <f t="shared" ca="1" si="6"/>
        <v>7302</v>
      </c>
    </row>
    <row r="31" spans="1:43" ht="16.5" thickBot="1">
      <c r="A31" s="1"/>
      <c r="B31" s="1"/>
      <c r="C31" s="1"/>
      <c r="D31" s="14" t="s">
        <v>152</v>
      </c>
      <c r="E31" s="1"/>
      <c r="F31" s="1"/>
      <c r="G31" s="27" t="s">
        <v>167</v>
      </c>
      <c r="H31" s="1"/>
      <c r="I31" s="6" t="s">
        <v>92</v>
      </c>
      <c r="J31" s="6">
        <v>7490</v>
      </c>
      <c r="K31" s="1"/>
      <c r="L31" s="1"/>
      <c r="M31" s="1"/>
      <c r="N31" s="1"/>
      <c r="O31" s="1"/>
      <c r="P31" s="14" t="s">
        <v>37</v>
      </c>
      <c r="Q31" s="1">
        <f ca="1">IF(ISERROR(SEARCH(INDIRECT(CELL("address")),P31:P156)),0,1)</f>
        <v>1</v>
      </c>
      <c r="R31" s="1">
        <f ca="1">IF(Q31=0,"",COUNTIF($Q$2:Q31,1))</f>
        <v>30</v>
      </c>
      <c r="S31" s="1" t="str">
        <f ca="1">IFERROR(INDEX(P:P, MATCH(ROW(R30),R:R,0)),"")</f>
        <v>AIS</v>
      </c>
      <c r="T31" s="1"/>
      <c r="U31" s="1"/>
      <c r="V31" s="27" t="s">
        <v>242</v>
      </c>
      <c r="W31" s="28">
        <f t="shared" ca="1" si="7"/>
        <v>1</v>
      </c>
      <c r="X31" s="28">
        <f ca="1">IF(W31=0,"",COUNTIF($W$2:W31,1))</f>
        <v>30</v>
      </c>
      <c r="Y31" s="28" t="str">
        <f t="shared" ca="1" si="8"/>
        <v>HQ - Training &amp; Education</v>
      </c>
      <c r="AI31" s="6" t="s">
        <v>97</v>
      </c>
      <c r="AJ31" s="6">
        <f t="shared" ca="1" si="3"/>
        <v>1</v>
      </c>
      <c r="AK31" s="6">
        <f ca="1">IF(AJ31=0,"",COUNTIF($AJ$2:AJ31,1))</f>
        <v>30</v>
      </c>
      <c r="AL31" s="6" t="str">
        <f t="shared" ca="1" si="4"/>
        <v>Mizuho Bank Limited</v>
      </c>
      <c r="AN31" s="6">
        <v>7621</v>
      </c>
      <c r="AO31" s="6">
        <f t="shared" ca="1" si="5"/>
        <v>1</v>
      </c>
      <c r="AP31" s="6">
        <f ca="1">IF(AO31=0,"",COUNTIF($AO$2:AO31,1))</f>
        <v>30</v>
      </c>
      <c r="AQ31" s="6">
        <f t="shared" ca="1" si="6"/>
        <v>7621</v>
      </c>
    </row>
    <row r="32" spans="1:43" ht="16.5" thickBot="1">
      <c r="A32" s="1"/>
      <c r="B32" s="1"/>
      <c r="C32" s="1"/>
      <c r="D32" s="14" t="s">
        <v>164</v>
      </c>
      <c r="E32" s="1"/>
      <c r="F32" s="1"/>
      <c r="G32" s="27" t="s">
        <v>240</v>
      </c>
      <c r="H32" s="1"/>
      <c r="I32" s="7" t="s">
        <v>94</v>
      </c>
      <c r="J32" s="7">
        <v>9636</v>
      </c>
      <c r="K32" s="1"/>
      <c r="L32" s="1"/>
      <c r="M32" s="1"/>
      <c r="N32" s="1"/>
      <c r="O32" s="1"/>
      <c r="P32" s="14" t="s">
        <v>130</v>
      </c>
      <c r="Q32" s="1">
        <f ca="1">IF(ISERROR(SEARCH(INDIRECT(CELL("address")),P32:P157)),0,1)</f>
        <v>1</v>
      </c>
      <c r="R32" s="1">
        <f ca="1">IF(Q32=0,"",COUNTIF($Q$2:Q32,1))</f>
        <v>31</v>
      </c>
      <c r="S32" s="1" t="str">
        <f ca="1">IFERROR(INDEX(P:P, MATCH(ROW(R31),R:R,0)),"")</f>
        <v>MOHH PHCH</v>
      </c>
      <c r="T32" s="1"/>
      <c r="U32" s="1"/>
      <c r="V32" s="27" t="s">
        <v>243</v>
      </c>
      <c r="W32" s="28">
        <f t="shared" ca="1" si="7"/>
        <v>1</v>
      </c>
      <c r="X32" s="28">
        <f ca="1">IF(W32=0,"",COUNTIF($W$2:W32,1))</f>
        <v>31</v>
      </c>
      <c r="Y32" s="28" t="str">
        <f t="shared" ca="1" si="8"/>
        <v>HQ -Uniforms</v>
      </c>
      <c r="AI32" s="6" t="s">
        <v>99</v>
      </c>
      <c r="AJ32" s="6">
        <f t="shared" ca="1" si="3"/>
        <v>1</v>
      </c>
      <c r="AK32" s="6">
        <f ca="1">IF(AJ32=0,"",COUNTIF($AJ$2:AJ32,1))</f>
        <v>31</v>
      </c>
      <c r="AL32" s="6" t="str">
        <f t="shared" ca="1" si="4"/>
        <v>National Australia Bank Limited</v>
      </c>
      <c r="AN32" s="6">
        <v>8077</v>
      </c>
      <c r="AO32" s="6">
        <f t="shared" ca="1" si="5"/>
        <v>1</v>
      </c>
      <c r="AP32" s="6">
        <f ca="1">IF(AO32=0,"",COUNTIF($AO$2:AO32,1))</f>
        <v>31</v>
      </c>
      <c r="AQ32" s="6">
        <f t="shared" ca="1" si="6"/>
        <v>8077</v>
      </c>
    </row>
    <row r="33" spans="1:43" ht="16.5" thickBot="1">
      <c r="A33" s="1"/>
      <c r="B33" s="1"/>
      <c r="C33" s="1"/>
      <c r="D33" s="14" t="s">
        <v>44</v>
      </c>
      <c r="E33" s="1"/>
      <c r="F33" s="1"/>
      <c r="G33" s="27" t="s">
        <v>241</v>
      </c>
      <c r="H33" s="1"/>
      <c r="I33" s="7" t="s">
        <v>95</v>
      </c>
      <c r="J33" s="7">
        <v>7302</v>
      </c>
      <c r="K33" s="1"/>
      <c r="L33" s="1"/>
      <c r="M33" s="1"/>
      <c r="N33" s="1"/>
      <c r="O33" s="1"/>
      <c r="P33" s="14" t="s">
        <v>133</v>
      </c>
      <c r="Q33" s="1">
        <f ca="1">IF(ISERROR(SEARCH(INDIRECT(CELL("address")),P33:P158)),0,1)</f>
        <v>1</v>
      </c>
      <c r="R33" s="1">
        <f ca="1">IF(Q33=0,"",COUNTIF($Q$2:Q33,1))</f>
        <v>32</v>
      </c>
      <c r="S33" s="1" t="str">
        <f ca="1">IFERROR(INDEX(P:P, MATCH(ROW(R32),R:R,0)),"")</f>
        <v>MOHH WNH</v>
      </c>
      <c r="T33" s="1"/>
      <c r="U33" s="1"/>
      <c r="V33" s="27" t="s">
        <v>244</v>
      </c>
      <c r="W33" s="28">
        <f t="shared" ca="1" si="7"/>
        <v>1</v>
      </c>
      <c r="X33" s="28">
        <f ca="1">IF(W33=0,"",COUNTIF($W$2:W33,1))</f>
        <v>32</v>
      </c>
      <c r="Y33" s="28" t="str">
        <f t="shared" ca="1" si="8"/>
        <v>DIVIDEND APPROPRIATION</v>
      </c>
      <c r="AI33" s="6" t="s">
        <v>100</v>
      </c>
      <c r="AJ33" s="6">
        <f t="shared" ca="1" si="3"/>
        <v>1</v>
      </c>
      <c r="AK33" s="6">
        <f ca="1">IF(AJ33=0,"",COUNTIF($AJ$2:AJ33,1))</f>
        <v>32</v>
      </c>
      <c r="AL33" s="6" t="str">
        <f t="shared" ca="1" si="4"/>
        <v>Nordea Bank Finland PLC</v>
      </c>
      <c r="AN33" s="6">
        <v>8518</v>
      </c>
      <c r="AO33" s="6">
        <f t="shared" ca="1" si="5"/>
        <v>1</v>
      </c>
      <c r="AP33" s="6">
        <f ca="1">IF(AO33=0,"",COUNTIF($AO$2:AO33,1))</f>
        <v>32</v>
      </c>
      <c r="AQ33" s="6">
        <f t="shared" ca="1" si="6"/>
        <v>8518</v>
      </c>
    </row>
    <row r="34" spans="1:43" ht="16.5" thickBot="1">
      <c r="A34" s="1"/>
      <c r="B34" s="1"/>
      <c r="C34" s="1"/>
      <c r="D34" s="14" t="s">
        <v>37</v>
      </c>
      <c r="E34" s="1"/>
      <c r="F34" s="1"/>
      <c r="G34" s="27" t="s">
        <v>242</v>
      </c>
      <c r="H34" s="1"/>
      <c r="I34" s="6" t="s">
        <v>97</v>
      </c>
      <c r="J34" s="6">
        <v>7621</v>
      </c>
      <c r="K34" s="1"/>
      <c r="L34" s="1"/>
      <c r="M34" s="1"/>
      <c r="N34" s="1"/>
      <c r="O34" s="1"/>
      <c r="P34" s="14" t="s">
        <v>148</v>
      </c>
      <c r="Q34" s="1">
        <f ca="1">IF(ISERROR(SEARCH(INDIRECT(CELL("address")),P34:P159)),0,1)</f>
        <v>1</v>
      </c>
      <c r="R34" s="1">
        <f ca="1">IF(Q34=0,"",COUNTIF($Q$2:Q34,1))</f>
        <v>33</v>
      </c>
      <c r="S34" s="1" t="str">
        <f ca="1">IFERROR(INDEX(P:P, MATCH(ROW(R33),R:R,0)),"")</f>
        <v>REN CI</v>
      </c>
      <c r="T34" s="1"/>
      <c r="U34" s="1"/>
      <c r="V34" s="27" t="s">
        <v>186</v>
      </c>
      <c r="W34" s="28">
        <f t="shared" ca="1" si="7"/>
        <v>1</v>
      </c>
      <c r="X34" s="28">
        <f ca="1">IF(W34=0,"",COUNTIF($W$2:W34,1))</f>
        <v>33</v>
      </c>
      <c r="Y34" s="28" t="str">
        <f t="shared" ca="1" si="8"/>
        <v>HQ - Employee Recreation Welfare</v>
      </c>
      <c r="AI34" s="6" t="s">
        <v>102</v>
      </c>
      <c r="AJ34" s="6">
        <f t="shared" ref="AJ34:AJ51" ca="1" si="9">IF(ISERROR(SEARCH(INDIRECT(CELL("address")),AI34:AI147)),0,1)</f>
        <v>1</v>
      </c>
      <c r="AK34" s="6">
        <f ca="1">IF(AJ34=0,"",COUNTIF($AJ$2:AJ34,1))</f>
        <v>33</v>
      </c>
      <c r="AL34" s="6" t="str">
        <f t="shared" ref="AL34:AL51" ca="1" si="10">IFERROR(INDEX(AI:AI, MATCH(ROW(AK33),AK:AK,0)),"")</f>
        <v>Oversea-Chinese Banking Corpn Limited</v>
      </c>
      <c r="AN34" s="6">
        <v>7339</v>
      </c>
      <c r="AO34" s="6">
        <f t="shared" ca="1" si="5"/>
        <v>1</v>
      </c>
      <c r="AP34" s="6">
        <f ca="1">IF(AO34=0,"",COUNTIF($AO$2:AO34,1))</f>
        <v>33</v>
      </c>
      <c r="AQ34" s="6">
        <f t="shared" ca="1" si="6"/>
        <v>7339</v>
      </c>
    </row>
    <row r="35" spans="1:43" ht="16.5" thickBot="1">
      <c r="A35" s="1"/>
      <c r="B35" s="1"/>
      <c r="C35" s="1"/>
      <c r="D35" s="14" t="s">
        <v>130</v>
      </c>
      <c r="E35" s="1"/>
      <c r="F35" s="1"/>
      <c r="G35" s="27" t="s">
        <v>243</v>
      </c>
      <c r="H35" s="1"/>
      <c r="I35" s="6" t="s">
        <v>99</v>
      </c>
      <c r="J35" s="6">
        <v>8077</v>
      </c>
      <c r="K35" s="1"/>
      <c r="L35" s="1"/>
      <c r="M35" s="1"/>
      <c r="N35" s="1"/>
      <c r="O35" s="1"/>
      <c r="P35" s="14" t="s">
        <v>179</v>
      </c>
      <c r="Q35" s="1">
        <f ca="1">IF(ISERROR(SEARCH(INDIRECT(CELL("address")),P35:P160)),0,1)</f>
        <v>1</v>
      </c>
      <c r="R35" s="1">
        <f ca="1">IF(Q35=0,"",COUNTIF($Q$2:Q35,1))</f>
        <v>34</v>
      </c>
      <c r="S35" s="1" t="str">
        <f ca="1">IFERROR(INDEX(P:P, MATCH(ROW(R34),R:R,0)),"")</f>
        <v>SKGH HA</v>
      </c>
      <c r="T35" s="1"/>
      <c r="U35" s="1"/>
      <c r="V35" s="27" t="s">
        <v>245</v>
      </c>
      <c r="W35" s="28">
        <f t="shared" ca="1" si="7"/>
        <v>1</v>
      </c>
      <c r="X35" s="28">
        <f ca="1">IF(W35=0,"",COUNTIF($W$2:W35,1))</f>
        <v>34</v>
      </c>
      <c r="Y35" s="28" t="str">
        <f t="shared" ca="1" si="8"/>
        <v>Employee Recretion Welfare-HSHC</v>
      </c>
      <c r="AI35" s="6" t="s">
        <v>104</v>
      </c>
      <c r="AJ35" s="6">
        <f t="shared" ca="1" si="9"/>
        <v>1</v>
      </c>
      <c r="AK35" s="6">
        <f ca="1">IF(AJ35=0,"",COUNTIF($AJ$2:AJ35,1))</f>
        <v>34</v>
      </c>
      <c r="AL35" s="6" t="str">
        <f t="shared" ca="1" si="10"/>
        <v>PT Bank Negara Indonesia (Persero) TBK</v>
      </c>
      <c r="AN35" s="6">
        <v>7056</v>
      </c>
      <c r="AO35" s="6">
        <f t="shared" ca="1" si="5"/>
        <v>1</v>
      </c>
      <c r="AP35" s="6">
        <f ca="1">IF(AO35=0,"",COUNTIF($AO$2:AO35,1))</f>
        <v>34</v>
      </c>
      <c r="AQ35" s="6">
        <f t="shared" ca="1" si="6"/>
        <v>7056</v>
      </c>
    </row>
    <row r="36" spans="1:43" ht="16.5" thickBot="1">
      <c r="A36" s="1"/>
      <c r="B36" s="1"/>
      <c r="C36" s="1"/>
      <c r="D36" s="14" t="s">
        <v>133</v>
      </c>
      <c r="E36" s="1"/>
      <c r="F36" s="1"/>
      <c r="G36" s="27" t="s">
        <v>244</v>
      </c>
      <c r="H36" s="1"/>
      <c r="I36" s="6" t="s">
        <v>100</v>
      </c>
      <c r="J36" s="6">
        <v>8518</v>
      </c>
      <c r="K36" s="1"/>
      <c r="L36" s="1"/>
      <c r="M36" s="1"/>
      <c r="N36" s="1"/>
      <c r="O36" s="1"/>
      <c r="P36" s="14" t="s">
        <v>132</v>
      </c>
      <c r="Q36" s="1">
        <f ca="1">IF(ISERROR(SEARCH(INDIRECT(CELL("address")),P36:P161)),0,1)</f>
        <v>1</v>
      </c>
      <c r="R36" s="1">
        <f ca="1">IF(Q36=0,"",COUNTIF($Q$2:Q36,1))</f>
        <v>35</v>
      </c>
      <c r="S36" s="1" t="str">
        <f ca="1">IFERROR(INDEX(P:P, MATCH(ROW(R35),R:R,0)),"")</f>
        <v>MOHH TCH</v>
      </c>
      <c r="T36" s="1"/>
      <c r="U36" s="1"/>
      <c r="V36" s="27" t="s">
        <v>246</v>
      </c>
      <c r="W36" s="28">
        <f t="shared" ca="1" si="7"/>
        <v>1</v>
      </c>
      <c r="X36" s="28">
        <f ca="1">IF(W36=0,"",COUNTIF($W$2:W36,1))</f>
        <v>35</v>
      </c>
      <c r="Y36" s="28" t="str">
        <f t="shared" ca="1" si="8"/>
        <v>INPUT TAX(GST)</v>
      </c>
      <c r="AI36" s="6" t="s">
        <v>105</v>
      </c>
      <c r="AJ36" s="6">
        <f t="shared" ca="1" si="9"/>
        <v>1</v>
      </c>
      <c r="AK36" s="6">
        <f ca="1">IF(AJ36=0,"",COUNTIF($AJ$2:AJ36,1))</f>
        <v>35</v>
      </c>
      <c r="AL36" s="6" t="str">
        <f t="shared" ca="1" si="10"/>
        <v>Qatar National Bank SAQ</v>
      </c>
      <c r="AN36" s="6">
        <v>9326</v>
      </c>
      <c r="AO36" s="6">
        <f t="shared" ca="1" si="5"/>
        <v>1</v>
      </c>
      <c r="AP36" s="6">
        <f ca="1">IF(AO36=0,"",COUNTIF($AO$2:AO36,1))</f>
        <v>35</v>
      </c>
      <c r="AQ36" s="6">
        <f t="shared" ca="1" si="6"/>
        <v>9326</v>
      </c>
    </row>
    <row r="37" spans="1:43" ht="16.5" thickBot="1">
      <c r="A37" s="1"/>
      <c r="B37" s="1"/>
      <c r="C37" s="1"/>
      <c r="D37" s="14" t="s">
        <v>148</v>
      </c>
      <c r="E37" s="1"/>
      <c r="F37" s="1"/>
      <c r="G37" s="27" t="s">
        <v>186</v>
      </c>
      <c r="H37" s="1"/>
      <c r="I37" s="6" t="s">
        <v>102</v>
      </c>
      <c r="J37" s="6">
        <v>7339</v>
      </c>
      <c r="K37" s="1"/>
      <c r="L37" s="1"/>
      <c r="M37" s="1"/>
      <c r="N37" s="1"/>
      <c r="O37" s="1"/>
      <c r="P37" s="14" t="s">
        <v>157</v>
      </c>
      <c r="Q37" s="1">
        <f ca="1">IF(ISERROR(SEARCH(INDIRECT(CELL("address")),P37:P162)),0,1)</f>
        <v>1</v>
      </c>
      <c r="R37" s="1">
        <f ca="1">IF(Q37=0,"",COUNTIF($Q$2:Q37,1))</f>
        <v>36</v>
      </c>
      <c r="S37" s="1" t="str">
        <f ca="1">IFERROR(INDEX(P:P, MATCH(ROW(R36),R:R,0)),"")</f>
        <v>StarMed</v>
      </c>
      <c r="T37" s="1"/>
      <c r="U37" s="1"/>
      <c r="V37" s="27" t="s">
        <v>247</v>
      </c>
      <c r="W37" s="28">
        <f t="shared" ca="1" si="7"/>
        <v>1</v>
      </c>
      <c r="X37" s="28">
        <f ca="1">IF(W37=0,"",COUNTIF($W$2:W37,1))</f>
        <v>36</v>
      </c>
      <c r="Y37" s="28" t="str">
        <f t="shared" ca="1" si="8"/>
        <v>PREPAYMENT</v>
      </c>
      <c r="AI37" s="6" t="s">
        <v>107</v>
      </c>
      <c r="AJ37" s="6">
        <f t="shared" ca="1" si="9"/>
        <v>1</v>
      </c>
      <c r="AK37" s="6">
        <f ca="1">IF(AJ37=0,"",COUNTIF($AJ$2:AJ37,1))</f>
        <v>36</v>
      </c>
      <c r="AL37" s="6" t="str">
        <f t="shared" ca="1" si="10"/>
        <v>RHB Bank Berhad</v>
      </c>
      <c r="AN37" s="6">
        <v>7366</v>
      </c>
      <c r="AO37" s="6">
        <f t="shared" ca="1" si="5"/>
        <v>1</v>
      </c>
      <c r="AP37" s="6">
        <f ca="1">IF(AO37=0,"",COUNTIF($AO$2:AO37,1))</f>
        <v>36</v>
      </c>
      <c r="AQ37" s="6">
        <f t="shared" ca="1" si="6"/>
        <v>7366</v>
      </c>
    </row>
    <row r="38" spans="1:43" ht="16.5" thickBot="1">
      <c r="A38" s="1"/>
      <c r="B38" s="1"/>
      <c r="C38" s="1"/>
      <c r="D38" s="14" t="s">
        <v>179</v>
      </c>
      <c r="E38" s="1"/>
      <c r="F38" s="1"/>
      <c r="G38" s="27" t="s">
        <v>245</v>
      </c>
      <c r="H38" s="1"/>
      <c r="I38" s="6" t="s">
        <v>104</v>
      </c>
      <c r="J38" s="6">
        <v>7056</v>
      </c>
      <c r="K38" s="1"/>
      <c r="L38" s="1"/>
      <c r="M38" s="1"/>
      <c r="N38" s="1"/>
      <c r="O38" s="1"/>
      <c r="P38" s="14" t="s">
        <v>129</v>
      </c>
      <c r="Q38" s="1">
        <f ca="1">IF(ISERROR(SEARCH(INDIRECT(CELL("address")),P38:P163)),0,1)</f>
        <v>1</v>
      </c>
      <c r="R38" s="1">
        <f ca="1">IF(Q38=0,"",COUNTIF($Q$2:Q38,1))</f>
        <v>37</v>
      </c>
      <c r="S38" s="1" t="str">
        <f ca="1">IFERROR(INDEX(P:P, MATCH(ROW(R37),R:R,0)),"")</f>
        <v>MOHH BBWNH</v>
      </c>
      <c r="T38" s="1"/>
      <c r="U38" s="1"/>
      <c r="V38" s="27" t="s">
        <v>248</v>
      </c>
      <c r="W38" s="28">
        <f t="shared" ca="1" si="7"/>
        <v>1</v>
      </c>
      <c r="X38" s="28">
        <f ca="1">IF(W38=0,"",COUNTIF($W$2:W38,1))</f>
        <v>37</v>
      </c>
      <c r="Y38" s="28" t="str">
        <f t="shared" ca="1" si="8"/>
        <v>TENDER DEPOSITS</v>
      </c>
      <c r="AI38" s="6" t="s">
        <v>108</v>
      </c>
      <c r="AJ38" s="6">
        <f t="shared" ca="1" si="9"/>
        <v>1</v>
      </c>
      <c r="AK38" s="6">
        <f ca="1">IF(AJ38=0,"",COUNTIF($AJ$2:AJ38,1))</f>
        <v>37</v>
      </c>
      <c r="AL38" s="6" t="str">
        <f t="shared" ca="1" si="10"/>
        <v>Skandinaviska Enskilda Banken AB (Publ)</v>
      </c>
      <c r="AN38" s="6">
        <v>8527</v>
      </c>
      <c r="AO38" s="6">
        <f t="shared" ca="1" si="5"/>
        <v>1</v>
      </c>
      <c r="AP38" s="6">
        <f ca="1">IF(AO38=0,"",COUNTIF($AO$2:AO38,1))</f>
        <v>37</v>
      </c>
      <c r="AQ38" s="6">
        <f t="shared" ca="1" si="6"/>
        <v>8527</v>
      </c>
    </row>
    <row r="39" spans="1:43" ht="16.5" thickBot="1">
      <c r="A39" s="1"/>
      <c r="B39" s="1"/>
      <c r="C39" s="1"/>
      <c r="D39" s="14" t="s">
        <v>132</v>
      </c>
      <c r="E39" s="1"/>
      <c r="F39" s="1"/>
      <c r="G39" s="27" t="s">
        <v>246</v>
      </c>
      <c r="H39" s="1"/>
      <c r="I39" s="6" t="s">
        <v>105</v>
      </c>
      <c r="J39" s="6">
        <v>9326</v>
      </c>
      <c r="K39" s="1"/>
      <c r="L39" s="1"/>
      <c r="M39" s="1"/>
      <c r="N39" s="1"/>
      <c r="O39" s="1"/>
      <c r="P39" s="14" t="s">
        <v>117</v>
      </c>
      <c r="Q39" s="1">
        <f ca="1">IF(ISERROR(SEARCH(INDIRECT(CELL("address")),P39:P164)),0,1)</f>
        <v>1</v>
      </c>
      <c r="R39" s="1">
        <f ca="1">IF(Q39=0,"",COUNTIF($Q$2:Q39,1))</f>
        <v>38</v>
      </c>
      <c r="S39" s="1" t="str">
        <f ca="1">IFERROR(INDEX(P:P, MATCH(ROW(R38),R:R,0)),"")</f>
        <v>KTPH - UET</v>
      </c>
      <c r="T39" s="1"/>
      <c r="U39" s="1"/>
      <c r="V39" s="27" t="s">
        <v>249</v>
      </c>
      <c r="W39" s="28">
        <f t="shared" ca="1" si="7"/>
        <v>1</v>
      </c>
      <c r="X39" s="28">
        <f ca="1">IF(W39=0,"",COUNTIF($W$2:W39,1))</f>
        <v>38</v>
      </c>
      <c r="Y39" s="28" t="str">
        <f t="shared" ca="1" si="8"/>
        <v>OTHER DEPOSIT</v>
      </c>
      <c r="AI39" s="6" t="s">
        <v>109</v>
      </c>
      <c r="AJ39" s="6">
        <f t="shared" ca="1" si="9"/>
        <v>1</v>
      </c>
      <c r="AK39" s="6">
        <f ca="1">IF(AJ39=0,"",COUNTIF($AJ$2:AJ39,1))</f>
        <v>38</v>
      </c>
      <c r="AL39" s="6" t="str">
        <f t="shared" ca="1" si="10"/>
        <v>Societe Generale</v>
      </c>
      <c r="AN39" s="6">
        <v>7852</v>
      </c>
      <c r="AO39" s="6">
        <f t="shared" ca="1" si="5"/>
        <v>1</v>
      </c>
      <c r="AP39" s="6">
        <f ca="1">IF(AO39=0,"",COUNTIF($AO$2:AO39,1))</f>
        <v>38</v>
      </c>
      <c r="AQ39" s="6">
        <f t="shared" ca="1" si="6"/>
        <v>7852</v>
      </c>
    </row>
    <row r="40" spans="1:43" ht="16.5" thickBot="1">
      <c r="A40" s="1"/>
      <c r="B40" s="1"/>
      <c r="C40" s="1"/>
      <c r="D40" s="14" t="s">
        <v>157</v>
      </c>
      <c r="E40" s="1"/>
      <c r="F40" s="1"/>
      <c r="G40" s="27" t="s">
        <v>247</v>
      </c>
      <c r="H40" s="1"/>
      <c r="I40" s="6" t="s">
        <v>107</v>
      </c>
      <c r="J40" s="6">
        <v>7366</v>
      </c>
      <c r="K40" s="1"/>
      <c r="L40" s="1"/>
      <c r="M40" s="1"/>
      <c r="N40" s="1"/>
      <c r="O40" s="1"/>
      <c r="P40" s="14" t="s">
        <v>154</v>
      </c>
      <c r="Q40" s="1">
        <f ca="1">IF(ISERROR(SEARCH(INDIRECT(CELL("address")),P40:P165)),0,1)</f>
        <v>1</v>
      </c>
      <c r="R40" s="1">
        <f ca="1">IF(Q40=0,"",COUNTIF($Q$2:Q40,1))</f>
        <v>39</v>
      </c>
      <c r="S40" s="1" t="str">
        <f ca="1">IFERROR(INDEX(P:P, MATCH(ROW(R39),R:R,0)),"")</f>
        <v>SGH VMS</v>
      </c>
      <c r="T40" s="1"/>
      <c r="U40" s="1"/>
      <c r="V40" s="27" t="s">
        <v>250</v>
      </c>
      <c r="W40" s="28">
        <f t="shared" ca="1" si="7"/>
        <v>1</v>
      </c>
      <c r="X40" s="28">
        <f ca="1">IF(W40=0,"",COUNTIF($W$2:W40,1))</f>
        <v>39</v>
      </c>
      <c r="Y40" s="28" t="str">
        <f t="shared" ca="1" si="8"/>
        <v>MEDICAL ART/SWAB TEST</v>
      </c>
      <c r="AI40" s="7" t="s">
        <v>110</v>
      </c>
      <c r="AJ40" s="6">
        <f t="shared" ca="1" si="9"/>
        <v>1</v>
      </c>
      <c r="AK40" s="6">
        <f ca="1">IF(AJ40=0,"",COUNTIF($AJ$2:AJ40,1))</f>
        <v>39</v>
      </c>
      <c r="AL40" s="6" t="str">
        <f t="shared" ca="1" si="10"/>
        <v>Standard Chartered Bank, (Singapore) Limited</v>
      </c>
      <c r="AN40" s="7">
        <v>9496</v>
      </c>
      <c r="AO40" s="6">
        <f t="shared" ca="1" si="5"/>
        <v>1</v>
      </c>
      <c r="AP40" s="6">
        <f ca="1">IF(AO40=0,"",COUNTIF($AO$2:AO40,1))</f>
        <v>39</v>
      </c>
      <c r="AQ40" s="6">
        <f t="shared" ca="1" si="6"/>
        <v>9496</v>
      </c>
    </row>
    <row r="41" spans="1:43" ht="16.5" thickBot="1">
      <c r="A41" s="1"/>
      <c r="B41" s="1"/>
      <c r="C41" s="1"/>
      <c r="D41" s="14" t="s">
        <v>129</v>
      </c>
      <c r="E41" s="1"/>
      <c r="F41" s="1"/>
      <c r="G41" s="27" t="s">
        <v>248</v>
      </c>
      <c r="H41" s="1"/>
      <c r="I41" s="6" t="s">
        <v>108</v>
      </c>
      <c r="J41" s="6">
        <v>8527</v>
      </c>
      <c r="K41" s="1"/>
      <c r="L41" s="1"/>
      <c r="M41" s="1"/>
      <c r="N41" s="1"/>
      <c r="O41" s="1"/>
      <c r="P41" s="14" t="s">
        <v>155</v>
      </c>
      <c r="Q41" s="1">
        <f ca="1">IF(ISERROR(SEARCH(INDIRECT(CELL("address")),P41:P166)),0,1)</f>
        <v>1</v>
      </c>
      <c r="R41" s="1">
        <f ca="1">IF(Q41=0,"",COUNTIF($Q$2:Q41,1))</f>
        <v>40</v>
      </c>
      <c r="S41" s="1" t="str">
        <f ca="1">IFERROR(INDEX(P:P, MATCH(ROW(R40),R:R,0)),"")</f>
        <v>SHP</v>
      </c>
      <c r="T41" s="1"/>
      <c r="U41" s="1"/>
      <c r="V41" s="27" t="s">
        <v>251</v>
      </c>
      <c r="W41" s="28">
        <f t="shared" ca="1" si="7"/>
        <v>1</v>
      </c>
      <c r="X41" s="28">
        <f ca="1">IF(W41=0,"",COUNTIF($W$2:W41,1))</f>
        <v>40</v>
      </c>
      <c r="Y41" s="28" t="str">
        <f t="shared" ca="1" si="8"/>
        <v>HQ_MEDICAL/ART/SWAB TEST</v>
      </c>
      <c r="AI41" s="7" t="s">
        <v>112</v>
      </c>
      <c r="AJ41" s="6">
        <f t="shared" ca="1" si="9"/>
        <v>1</v>
      </c>
      <c r="AK41" s="6">
        <f ca="1">IF(AJ41=0,"",COUNTIF($AJ$2:AJ41,1))</f>
        <v>40</v>
      </c>
      <c r="AL41" s="6" t="str">
        <f t="shared" ca="1" si="10"/>
        <v>Standard Chartered Bank, Singapore Branch</v>
      </c>
      <c r="AN41" s="7">
        <v>7144</v>
      </c>
      <c r="AO41" s="6">
        <f t="shared" ca="1" si="5"/>
        <v>1</v>
      </c>
      <c r="AP41" s="6">
        <f ca="1">IF(AO41=0,"",COUNTIF($AO$2:AO41,1))</f>
        <v>40</v>
      </c>
      <c r="AQ41" s="6">
        <f t="shared" ca="1" si="6"/>
        <v>7144</v>
      </c>
    </row>
    <row r="42" spans="1:43" ht="16.5" thickBot="1">
      <c r="A42" s="1"/>
      <c r="B42" s="1"/>
      <c r="C42" s="1"/>
      <c r="D42" s="14" t="s">
        <v>117</v>
      </c>
      <c r="E42" s="1"/>
      <c r="F42" s="1"/>
      <c r="G42" s="27" t="s">
        <v>249</v>
      </c>
      <c r="H42" s="1"/>
      <c r="I42" s="6" t="s">
        <v>109</v>
      </c>
      <c r="J42" s="6">
        <v>7852</v>
      </c>
      <c r="K42" s="1"/>
      <c r="L42" s="1"/>
      <c r="M42" s="1"/>
      <c r="N42" s="1"/>
      <c r="O42" s="1"/>
      <c r="P42" s="14" t="s">
        <v>160</v>
      </c>
      <c r="Q42" s="1">
        <f ca="1">IF(ISERROR(SEARCH(INDIRECT(CELL("address")),P42:P167)),0,1)</f>
        <v>1</v>
      </c>
      <c r="R42" s="1">
        <f ca="1">IF(Q42=0,"",COUNTIF($Q$2:Q42,1))</f>
        <v>41</v>
      </c>
      <c r="S42" s="1" t="str">
        <f ca="1">IFERROR(INDEX(P:P, MATCH(ROW(R41),R:R,0)),"")</f>
        <v>TTSH HA - COVID-19</v>
      </c>
      <c r="T42" s="1"/>
      <c r="U42" s="1"/>
      <c r="V42" s="27" t="s">
        <v>252</v>
      </c>
      <c r="W42" s="28">
        <f t="shared" ca="1" si="7"/>
        <v>1</v>
      </c>
      <c r="X42" s="28">
        <f ca="1">IF(W42=0,"",COUNTIF($W$2:W42,1))</f>
        <v>41</v>
      </c>
      <c r="Y42" s="28" t="str">
        <f t="shared" ca="1" si="8"/>
        <v>PETTY CASH A/C-UEMS</v>
      </c>
      <c r="AI42" s="6" t="s">
        <v>114</v>
      </c>
      <c r="AJ42" s="6">
        <f t="shared" ca="1" si="9"/>
        <v>1</v>
      </c>
      <c r="AK42" s="6">
        <f ca="1">IF(AJ42=0,"",COUNTIF($AJ$2:AJ42,1))</f>
        <v>41</v>
      </c>
      <c r="AL42" s="6" t="str">
        <f t="shared" ca="1" si="10"/>
        <v>State Bank Of India</v>
      </c>
      <c r="AN42" s="6">
        <v>7791</v>
      </c>
      <c r="AO42" s="6">
        <f t="shared" ca="1" si="5"/>
        <v>1</v>
      </c>
      <c r="AP42" s="6">
        <f ca="1">IF(AO42=0,"",COUNTIF($AO$2:AO42,1))</f>
        <v>41</v>
      </c>
      <c r="AQ42" s="6">
        <f t="shared" ca="1" si="6"/>
        <v>7791</v>
      </c>
    </row>
    <row r="43" spans="1:43" ht="16.5" thickBot="1">
      <c r="A43" s="1"/>
      <c r="B43" s="1"/>
      <c r="C43" s="1"/>
      <c r="D43" s="14" t="s">
        <v>154</v>
      </c>
      <c r="E43" s="1"/>
      <c r="F43" s="1"/>
      <c r="G43" s="27" t="s">
        <v>250</v>
      </c>
      <c r="H43" s="1"/>
      <c r="I43" s="7" t="s">
        <v>110</v>
      </c>
      <c r="J43" s="7">
        <v>9496</v>
      </c>
      <c r="K43" s="1"/>
      <c r="L43" s="1"/>
      <c r="M43" s="1"/>
      <c r="N43" s="1"/>
      <c r="O43" s="1"/>
      <c r="P43" s="14" t="s">
        <v>162</v>
      </c>
      <c r="Q43" s="1">
        <f ca="1">IF(ISERROR(SEARCH(INDIRECT(CELL("address")),P43:P168)),0,1)</f>
        <v>1</v>
      </c>
      <c r="R43" s="1">
        <f ca="1">IF(Q43=0,"",COUNTIF($Q$2:Q43,1))</f>
        <v>42</v>
      </c>
      <c r="S43" s="1" t="str">
        <f ca="1">IFERROR(INDEX(P:P, MATCH(ROW(R42),R:R,0)),"")</f>
        <v>TTSH UET - COVID-19</v>
      </c>
      <c r="T43" s="1"/>
      <c r="U43" s="1"/>
      <c r="V43" s="27" t="s">
        <v>253</v>
      </c>
      <c r="W43" s="28">
        <f t="shared" ca="1" si="7"/>
        <v>1</v>
      </c>
      <c r="X43" s="28">
        <f ca="1">IF(W43=0,"",COUNTIF($W$2:W43,1))</f>
        <v>42</v>
      </c>
      <c r="Y43" s="28" t="str">
        <f t="shared" ca="1" si="8"/>
        <v>COS-TRAINING &amp; EDUCATION EXP WSQ</v>
      </c>
      <c r="AI43" s="6" t="s">
        <v>116</v>
      </c>
      <c r="AJ43" s="6">
        <f t="shared" ca="1" si="9"/>
        <v>1</v>
      </c>
      <c r="AK43" s="6">
        <f ca="1">IF(AJ43=0,"",COUNTIF($AJ$2:AJ43,1))</f>
        <v>42</v>
      </c>
      <c r="AL43" s="6" t="str">
        <f t="shared" ca="1" si="10"/>
        <v>Sumitomo Mitsui Banking Corporation</v>
      </c>
      <c r="AN43" s="6">
        <v>7472</v>
      </c>
      <c r="AO43" s="6">
        <f t="shared" ca="1" si="5"/>
        <v>1</v>
      </c>
      <c r="AP43" s="6">
        <f ca="1">IF(AO43=0,"",COUNTIF($AO$2:AO43,1))</f>
        <v>42</v>
      </c>
      <c r="AQ43" s="6">
        <f t="shared" ca="1" si="6"/>
        <v>7472</v>
      </c>
    </row>
    <row r="44" spans="1:43" ht="16.5" thickBot="1">
      <c r="A44" s="1"/>
      <c r="B44" s="1"/>
      <c r="C44" s="1"/>
      <c r="D44" s="14" t="s">
        <v>155</v>
      </c>
      <c r="E44" s="1"/>
      <c r="F44" s="1"/>
      <c r="G44" s="27" t="s">
        <v>251</v>
      </c>
      <c r="H44" s="1"/>
      <c r="I44" s="7" t="s">
        <v>112</v>
      </c>
      <c r="J44" s="7">
        <v>7144</v>
      </c>
      <c r="K44" s="1"/>
      <c r="L44" s="1"/>
      <c r="M44" s="1"/>
      <c r="N44" s="1"/>
      <c r="O44" s="1"/>
      <c r="P44" s="14" t="s">
        <v>27</v>
      </c>
      <c r="Q44" s="1">
        <f ca="1">IF(ISERROR(SEARCH(INDIRECT(CELL("address")),P44:P169)),0,1)</f>
        <v>1</v>
      </c>
      <c r="R44" s="1">
        <f ca="1">IF(Q44=0,"",COUNTIF($Q$2:Q44,1))</f>
        <v>43</v>
      </c>
      <c r="S44" s="1" t="str">
        <f ca="1">IFERROR(INDEX(P:P, MATCH(ROW(R43),R:R,0)),"")</f>
        <v>AH STW</v>
      </c>
      <c r="T44" s="1"/>
      <c r="U44" s="1"/>
      <c r="V44" s="27" t="s">
        <v>254</v>
      </c>
      <c r="W44" s="28">
        <f t="shared" ca="1" si="7"/>
        <v>1</v>
      </c>
      <c r="X44" s="28">
        <f ca="1">IF(W44=0,"",COUNTIF($W$2:W44,1))</f>
        <v>43</v>
      </c>
      <c r="Y44" s="28" t="str">
        <f t="shared" ca="1" si="8"/>
        <v>PAYROLL CONTROL ACCOUNT</v>
      </c>
      <c r="AI44" s="6" t="s">
        <v>118</v>
      </c>
      <c r="AJ44" s="6">
        <f t="shared" ca="1" si="9"/>
        <v>1</v>
      </c>
      <c r="AK44" s="6">
        <f ca="1">IF(AJ44=0,"",COUNTIF($AJ$2:AJ44,1))</f>
        <v>43</v>
      </c>
      <c r="AL44" s="6" t="str">
        <f t="shared" ca="1" si="10"/>
        <v>Svenska Handelsbanken AB (Publ)</v>
      </c>
      <c r="AN44" s="6">
        <v>8493</v>
      </c>
      <c r="AO44" s="6">
        <f t="shared" ca="1" si="5"/>
        <v>1</v>
      </c>
      <c r="AP44" s="6">
        <f ca="1">IF(AO44=0,"",COUNTIF($AO$2:AO44,1))</f>
        <v>43</v>
      </c>
      <c r="AQ44" s="6">
        <f t="shared" ca="1" si="6"/>
        <v>8493</v>
      </c>
    </row>
    <row r="45" spans="1:43" ht="16.5" thickBot="1">
      <c r="A45" s="1"/>
      <c r="B45" s="1"/>
      <c r="C45" s="1"/>
      <c r="D45" s="14" t="s">
        <v>160</v>
      </c>
      <c r="E45" s="1"/>
      <c r="F45" s="1"/>
      <c r="G45" s="27" t="s">
        <v>252</v>
      </c>
      <c r="H45" s="1"/>
      <c r="I45" s="6" t="s">
        <v>114</v>
      </c>
      <c r="J45" s="6">
        <v>7791</v>
      </c>
      <c r="K45" s="1"/>
      <c r="L45" s="1"/>
      <c r="M45" s="1"/>
      <c r="N45" s="1"/>
      <c r="O45" s="1"/>
      <c r="P45" s="14" t="s">
        <v>180</v>
      </c>
      <c r="Q45" s="1">
        <f ca="1">IF(ISERROR(SEARCH(INDIRECT(CELL("address")),P45:P170)),0,1)</f>
        <v>1</v>
      </c>
      <c r="R45" s="1">
        <f ca="1">IF(Q45=0,"",COUNTIF($Q$2:Q45,1))</f>
        <v>44</v>
      </c>
      <c r="S45" s="1" t="str">
        <f ca="1">IFERROR(INDEX(P:P, MATCH(ROW(R44),R:R,0)),"")</f>
        <v>SKH HSK</v>
      </c>
      <c r="T45" s="1"/>
      <c r="U45" s="1"/>
      <c r="V45" s="27" t="s">
        <v>255</v>
      </c>
      <c r="W45" s="28">
        <f t="shared" ca="1" si="7"/>
        <v>1</v>
      </c>
      <c r="X45" s="28">
        <f ca="1">IF(W45=0,"",COUNTIF($W$2:W45,1))</f>
        <v>44</v>
      </c>
      <c r="Y45" s="28" t="str">
        <f t="shared" ca="1" si="8"/>
        <v>HQ-UNIFORM</v>
      </c>
      <c r="AI45" s="9" t="s">
        <v>119</v>
      </c>
      <c r="AJ45" s="6">
        <f t="shared" ca="1" si="9"/>
        <v>1</v>
      </c>
      <c r="AK45" s="6">
        <f ca="1">IF(AJ45=0,"",COUNTIF($AJ$2:AJ45,1))</f>
        <v>44</v>
      </c>
      <c r="AL45" s="6" t="str">
        <f t="shared" ca="1" si="10"/>
        <v>The Bank Of East Asia Limited</v>
      </c>
      <c r="AN45" s="10">
        <v>7092</v>
      </c>
      <c r="AO45" s="6">
        <f t="shared" ca="1" si="5"/>
        <v>1</v>
      </c>
      <c r="AP45" s="6">
        <f ca="1">IF(AO45=0,"",COUNTIF($AO$2:AO45,1))</f>
        <v>44</v>
      </c>
      <c r="AQ45" s="6">
        <f t="shared" ca="1" si="6"/>
        <v>7092</v>
      </c>
    </row>
    <row r="46" spans="1:43" ht="16.5" thickBot="1">
      <c r="A46" s="1"/>
      <c r="B46" s="1"/>
      <c r="C46" s="1"/>
      <c r="D46" s="14" t="s">
        <v>162</v>
      </c>
      <c r="E46" s="1"/>
      <c r="F46" s="1"/>
      <c r="G46" s="27" t="s">
        <v>253</v>
      </c>
      <c r="H46" s="1"/>
      <c r="I46" s="6" t="s">
        <v>116</v>
      </c>
      <c r="J46" s="6">
        <v>7472</v>
      </c>
      <c r="K46" s="1"/>
      <c r="L46" s="1"/>
      <c r="M46" s="1"/>
      <c r="N46" s="1"/>
      <c r="O46" s="1"/>
      <c r="P46" s="14" t="s">
        <v>171</v>
      </c>
      <c r="Q46" s="1">
        <f ca="1">IF(ISERROR(SEARCH(INDIRECT(CELL("address")),P46:P171)),0,1)</f>
        <v>1</v>
      </c>
      <c r="R46" s="1">
        <f ca="1">IF(Q46=0,"",COUNTIF($Q$2:Q46,1))</f>
        <v>45</v>
      </c>
      <c r="S46" s="1" t="str">
        <f ca="1">IFERROR(INDEX(P:P, MATCH(ROW(R45),R:R,0)),"")</f>
        <v>SKH UET</v>
      </c>
      <c r="T46" s="1"/>
      <c r="U46" s="1"/>
      <c r="V46" s="27" t="s">
        <v>256</v>
      </c>
      <c r="W46" s="28">
        <f t="shared" ca="1" si="7"/>
        <v>1</v>
      </c>
      <c r="X46" s="28">
        <f ca="1">IF(W46=0,"",COUNTIF($W$2:W46,1))</f>
        <v>45</v>
      </c>
      <c r="Y46" s="28" t="str">
        <f t="shared" ca="1" si="8"/>
        <v>ADVERTISING &amp; PROMOTIONS</v>
      </c>
      <c r="AI46" s="6" t="s">
        <v>120</v>
      </c>
      <c r="AJ46" s="6">
        <f t="shared" ca="1" si="9"/>
        <v>1</v>
      </c>
      <c r="AK46" s="6">
        <f ca="1">IF(AJ46=0,"",COUNTIF($AJ$2:AJ46,1))</f>
        <v>45</v>
      </c>
      <c r="AL46" s="6" t="str">
        <f t="shared" ca="1" si="10"/>
        <v>UBS AG</v>
      </c>
      <c r="AN46" s="6">
        <v>7685</v>
      </c>
      <c r="AO46" s="6">
        <f t="shared" ca="1" si="5"/>
        <v>1</v>
      </c>
      <c r="AP46" s="6">
        <f ca="1">IF(AO46=0,"",COUNTIF($AO$2:AO46,1))</f>
        <v>45</v>
      </c>
      <c r="AQ46" s="6">
        <f t="shared" ca="1" si="6"/>
        <v>7685</v>
      </c>
    </row>
    <row r="47" spans="1:43" ht="16.5" thickBot="1">
      <c r="A47" s="1"/>
      <c r="B47" s="1"/>
      <c r="C47" s="1"/>
      <c r="D47" s="14" t="s">
        <v>27</v>
      </c>
      <c r="E47" s="1"/>
      <c r="F47" s="1"/>
      <c r="G47" s="27" t="s">
        <v>254</v>
      </c>
      <c r="H47" s="1"/>
      <c r="I47" s="6" t="s">
        <v>118</v>
      </c>
      <c r="J47" s="6">
        <v>8493</v>
      </c>
      <c r="K47" s="1"/>
      <c r="L47" s="1"/>
      <c r="M47" s="1"/>
      <c r="N47" s="1"/>
      <c r="O47" s="1"/>
      <c r="P47" s="14" t="s">
        <v>131</v>
      </c>
      <c r="Q47" s="1">
        <f ca="1">IF(ISERROR(SEARCH(INDIRECT(CELL("address")),P47:P172)),0,1)</f>
        <v>1</v>
      </c>
      <c r="R47" s="1">
        <f ca="1">IF(Q47=0,"",COUNTIF($Q$2:Q47,1))</f>
        <v>46</v>
      </c>
      <c r="S47" s="1" t="str">
        <f ca="1">IFERROR(INDEX(P:P, MATCH(ROW(R46),R:R,0)),"")</f>
        <v>MOHH SENJA</v>
      </c>
      <c r="T47" s="1"/>
      <c r="U47" s="1"/>
      <c r="V47" s="27" t="s">
        <v>257</v>
      </c>
      <c r="W47" s="28">
        <f t="shared" ca="1" si="7"/>
        <v>1</v>
      </c>
      <c r="X47" s="28">
        <f ca="1">IF(W47=0,"",COUNTIF($W$2:W47,1))</f>
        <v>46</v>
      </c>
      <c r="Y47" s="28" t="str">
        <f t="shared" ca="1" si="8"/>
        <v>LEGAL FEES</v>
      </c>
      <c r="AI47" s="6" t="s">
        <v>122</v>
      </c>
      <c r="AJ47" s="6">
        <f t="shared" ca="1" si="9"/>
        <v>1</v>
      </c>
      <c r="AK47" s="6">
        <f ca="1">IF(AJ47=0,"",COUNTIF($AJ$2:AJ47,1))</f>
        <v>46</v>
      </c>
      <c r="AL47" s="6" t="str">
        <f t="shared" ca="1" si="10"/>
        <v>UCO Bank</v>
      </c>
      <c r="AN47" s="6">
        <v>7357</v>
      </c>
      <c r="AO47" s="6">
        <f t="shared" ca="1" si="5"/>
        <v>1</v>
      </c>
      <c r="AP47" s="6">
        <f ca="1">IF(AO47=0,"",COUNTIF($AO$2:AO47,1))</f>
        <v>46</v>
      </c>
      <c r="AQ47" s="6">
        <f t="shared" ca="1" si="6"/>
        <v>7357</v>
      </c>
    </row>
    <row r="48" spans="1:43" ht="16.5" thickBot="1">
      <c r="A48" s="1"/>
      <c r="B48" s="1"/>
      <c r="C48" s="1"/>
      <c r="D48" s="14" t="s">
        <v>180</v>
      </c>
      <c r="E48" s="1"/>
      <c r="F48" s="1"/>
      <c r="G48" s="27" t="s">
        <v>255</v>
      </c>
      <c r="H48" s="1"/>
      <c r="I48" s="9" t="s">
        <v>119</v>
      </c>
      <c r="J48" s="10">
        <v>7092</v>
      </c>
      <c r="K48" s="1"/>
      <c r="L48" s="1"/>
      <c r="M48" s="1"/>
      <c r="N48" s="1"/>
      <c r="O48" s="1"/>
      <c r="P48" s="14" t="s">
        <v>181</v>
      </c>
      <c r="Q48" s="1">
        <f ca="1">IF(ISERROR(SEARCH(INDIRECT(CELL("address")),P48:P173)),0,1)</f>
        <v>1</v>
      </c>
      <c r="R48" s="1">
        <f ca="1">IF(Q48=0,"",COUNTIF($Q$2:Q48,1))</f>
        <v>47</v>
      </c>
      <c r="S48" s="1" t="str">
        <f ca="1">IFERROR(INDEX(P:P, MATCH(ROW(R47),R:R,0)),"")</f>
        <v>NTFGH-STW</v>
      </c>
      <c r="T48" s="1"/>
      <c r="U48" s="1"/>
      <c r="V48" s="27" t="s">
        <v>258</v>
      </c>
      <c r="W48" s="28">
        <f t="shared" ca="1" si="7"/>
        <v>1</v>
      </c>
      <c r="X48" s="28">
        <f ca="1">IF(W48=0,"",COUNTIF($W$2:W48,1))</f>
        <v>47</v>
      </c>
      <c r="Y48" s="28" t="str">
        <f t="shared" ca="1" si="8"/>
        <v>MISCELLANEOUS VARIABLE COSTS</v>
      </c>
      <c r="AI48" s="6" t="s">
        <v>124</v>
      </c>
      <c r="AJ48" s="6">
        <f t="shared" ca="1" si="9"/>
        <v>1</v>
      </c>
      <c r="AK48" s="6">
        <f ca="1">IF(AJ48=0,"",COUNTIF($AJ$2:AJ48,1))</f>
        <v>47</v>
      </c>
      <c r="AL48" s="6" t="str">
        <f t="shared" ca="1" si="10"/>
        <v>UniCredit Bank AG</v>
      </c>
      <c r="AN48" s="6">
        <v>8855</v>
      </c>
      <c r="AO48" s="6">
        <f t="shared" ca="1" si="5"/>
        <v>1</v>
      </c>
      <c r="AP48" s="6">
        <f ca="1">IF(AO48=0,"",COUNTIF($AO$2:AO48,1))</f>
        <v>47</v>
      </c>
      <c r="AQ48" s="6">
        <f t="shared" ca="1" si="6"/>
        <v>8855</v>
      </c>
    </row>
    <row r="49" spans="1:43" ht="16.5" thickBot="1">
      <c r="A49" s="1"/>
      <c r="B49" s="1"/>
      <c r="C49" s="1"/>
      <c r="D49" s="14" t="s">
        <v>171</v>
      </c>
      <c r="E49" s="1"/>
      <c r="F49" s="1"/>
      <c r="G49" s="27" t="s">
        <v>256</v>
      </c>
      <c r="H49" s="1"/>
      <c r="I49" s="6" t="s">
        <v>120</v>
      </c>
      <c r="J49" s="6">
        <v>7685</v>
      </c>
      <c r="K49" s="1"/>
      <c r="L49" s="1"/>
      <c r="M49" s="1"/>
      <c r="N49" s="1"/>
      <c r="O49" s="1"/>
      <c r="P49" s="14" t="s">
        <v>176</v>
      </c>
      <c r="Q49" s="1">
        <f ca="1">IF(ISERROR(SEARCH(INDIRECT(CELL("address")),P49:P174)),0,1)</f>
        <v>1</v>
      </c>
      <c r="R49" s="1">
        <f ca="1">IF(Q49=0,"",COUNTIF($Q$2:Q49,1))</f>
        <v>48</v>
      </c>
      <c r="S49" s="1" t="str">
        <f ca="1">IFERROR(INDEX(P:P, MATCH(ROW(R48),R:R,0)),"")</f>
        <v>FLOAT - NURSING HOME</v>
      </c>
      <c r="T49" s="1"/>
      <c r="U49" s="1"/>
      <c r="V49" s="27" t="s">
        <v>259</v>
      </c>
      <c r="W49" s="28">
        <f t="shared" ca="1" si="7"/>
        <v>1</v>
      </c>
      <c r="X49" s="28">
        <f ca="1">IF(W49=0,"",COUNTIF($W$2:W49,1))</f>
        <v>48</v>
      </c>
      <c r="Y49" s="28" t="str">
        <f t="shared" ca="1" si="8"/>
        <v>TEL CHARGES-ALLOWANCE</v>
      </c>
      <c r="AI49" s="6" t="s">
        <v>126</v>
      </c>
      <c r="AJ49" s="6">
        <f t="shared" ca="1" si="9"/>
        <v>1</v>
      </c>
      <c r="AK49" s="6">
        <f ca="1">IF(AJ49=0,"",COUNTIF($AJ$2:AJ49,1))</f>
        <v>48</v>
      </c>
      <c r="AL49" s="6" t="str">
        <f t="shared" ca="1" si="10"/>
        <v>United Overseas Bank Limited</v>
      </c>
      <c r="AN49" s="22">
        <v>7375</v>
      </c>
      <c r="AO49" s="22">
        <f t="shared" ca="1" si="5"/>
        <v>1</v>
      </c>
      <c r="AP49" s="22">
        <f ca="1">IF(AO49=0,"",COUNTIF($AO$2:AO49,1))</f>
        <v>48</v>
      </c>
      <c r="AQ49" s="22">
        <f t="shared" ca="1" si="6"/>
        <v>7375</v>
      </c>
    </row>
    <row r="50" spans="1:43" ht="16.5" thickBot="1">
      <c r="A50" s="1"/>
      <c r="B50" s="1"/>
      <c r="C50" s="1"/>
      <c r="D50" s="14" t="s">
        <v>131</v>
      </c>
      <c r="E50" s="1"/>
      <c r="F50" s="1"/>
      <c r="G50" s="27" t="s">
        <v>257</v>
      </c>
      <c r="H50" s="1"/>
      <c r="I50" s="6" t="s">
        <v>122</v>
      </c>
      <c r="J50" s="6">
        <v>7357</v>
      </c>
      <c r="K50" s="1"/>
      <c r="L50" s="1"/>
      <c r="M50" s="1"/>
      <c r="N50" s="1"/>
      <c r="O50" s="1"/>
      <c r="P50" s="14" t="s">
        <v>182</v>
      </c>
      <c r="Q50" s="1">
        <f ca="1">IF(ISERROR(SEARCH(INDIRECT(CELL("address")),P50:P175)),0,1)</f>
        <v>1</v>
      </c>
      <c r="R50" s="1">
        <f ca="1">IF(Q50=0,"",COUNTIF($Q$2:Q50,1))</f>
        <v>49</v>
      </c>
      <c r="S50" s="1" t="str">
        <f ca="1">IFERROR(INDEX(P:P, MATCH(ROW(R49),R:R,0)),"")</f>
        <v>EFM (HRCT)</v>
      </c>
      <c r="T50" s="1"/>
      <c r="U50" s="1"/>
      <c r="V50" s="27" t="s">
        <v>260</v>
      </c>
      <c r="W50" s="28">
        <f t="shared" ca="1" si="7"/>
        <v>1</v>
      </c>
      <c r="X50" s="28">
        <f ca="1">IF(W50=0,"",COUNTIF($W$2:W50,1))</f>
        <v>49</v>
      </c>
      <c r="Y50" s="28" t="str">
        <f t="shared" ca="1" si="8"/>
        <v>Telecommunication charges.</v>
      </c>
      <c r="AI50" s="1"/>
      <c r="AJ50" s="6">
        <f t="shared" ca="1" si="9"/>
        <v>0</v>
      </c>
      <c r="AK50" s="6" t="str">
        <f ca="1">IF(AJ50=0,"",COUNTIF($AJ$2:AJ50,1))</f>
        <v/>
      </c>
      <c r="AL50" s="6" t="str">
        <f t="shared" ca="1" si="10"/>
        <v/>
      </c>
      <c r="AN50" s="1"/>
    </row>
    <row r="51" spans="1:43" ht="16.5" thickBot="1">
      <c r="A51" s="1"/>
      <c r="B51" s="1"/>
      <c r="C51" s="1"/>
      <c r="D51" s="14" t="s">
        <v>181</v>
      </c>
      <c r="E51" s="1"/>
      <c r="F51" s="1"/>
      <c r="G51" s="27" t="s">
        <v>258</v>
      </c>
      <c r="H51" s="1"/>
      <c r="I51" s="6" t="s">
        <v>124</v>
      </c>
      <c r="J51" s="6">
        <v>8855</v>
      </c>
      <c r="K51" s="1"/>
      <c r="L51" s="1"/>
      <c r="M51" s="1"/>
      <c r="N51" s="1"/>
      <c r="O51" s="1"/>
      <c r="P51" s="14" t="s">
        <v>134</v>
      </c>
      <c r="Q51" s="1">
        <f ca="1">IF(ISERROR(SEARCH(INDIRECT(CELL("address")),P51:P176)),0,1)</f>
        <v>1</v>
      </c>
      <c r="R51" s="1">
        <f ca="1">IF(Q51=0,"",COUNTIF($Q$2:Q51,1))</f>
        <v>50</v>
      </c>
      <c r="S51" s="1" t="str">
        <f ca="1">IFERROR(INDEX(P:P, MATCH(ROW(R50),R:R,0)),"")</f>
        <v>NCR</v>
      </c>
      <c r="T51" s="1"/>
      <c r="U51" s="1"/>
      <c r="V51" s="27" t="s">
        <v>187</v>
      </c>
      <c r="W51" s="28">
        <f t="shared" ca="1" si="7"/>
        <v>1</v>
      </c>
      <c r="X51" s="28">
        <f ca="1">IF(W51=0,"",COUNTIF($W$2:W51,1))</f>
        <v>50</v>
      </c>
      <c r="Y51" s="28" t="str">
        <f t="shared" ca="1" si="8"/>
        <v>Accomodation</v>
      </c>
      <c r="AJ51" s="22">
        <f t="shared" ca="1" si="9"/>
        <v>0</v>
      </c>
      <c r="AK51" s="22" t="str">
        <f ca="1">IF(AJ51=0,"",COUNTIF($AJ$2:AJ51,1))</f>
        <v/>
      </c>
      <c r="AL51" s="22" t="str">
        <f t="shared" ca="1" si="10"/>
        <v/>
      </c>
    </row>
    <row r="52" spans="1:43" ht="16.5" thickBot="1">
      <c r="A52" s="1"/>
      <c r="B52" s="1"/>
      <c r="C52" s="1"/>
      <c r="D52" s="14" t="s">
        <v>176</v>
      </c>
      <c r="E52" s="1"/>
      <c r="F52" s="1"/>
      <c r="G52" s="27" t="s">
        <v>259</v>
      </c>
      <c r="H52" s="1"/>
      <c r="I52" s="6" t="s">
        <v>126</v>
      </c>
      <c r="J52" s="6">
        <v>7375</v>
      </c>
      <c r="K52" s="1"/>
      <c r="L52" s="1"/>
      <c r="M52" s="1"/>
      <c r="N52" s="1"/>
      <c r="O52" s="1"/>
      <c r="P52" s="14" t="s">
        <v>70</v>
      </c>
      <c r="Q52" s="1">
        <f ca="1">IF(ISERROR(SEARCH(INDIRECT(CELL("address")),P52:P177)),0,1)</f>
        <v>1</v>
      </c>
      <c r="R52" s="1">
        <f ca="1">IF(Q52=0,"",COUNTIF($Q$2:Q52,1))</f>
        <v>51</v>
      </c>
      <c r="S52" s="1" t="str">
        <f ca="1">IFERROR(INDEX(P:P, MATCH(ROW(R51),R:R,0)),"")</f>
        <v>FLOAT TEAM</v>
      </c>
      <c r="T52" s="1"/>
      <c r="U52" s="1"/>
      <c r="V52" s="27" t="s">
        <v>261</v>
      </c>
      <c r="W52" s="28">
        <f t="shared" ca="1" si="7"/>
        <v>1</v>
      </c>
      <c r="X52" s="28">
        <f ca="1">IF(W52=0,"",COUNTIF($W$2:W52,1))</f>
        <v>51</v>
      </c>
      <c r="Y52" s="28" t="str">
        <f t="shared" ca="1" si="8"/>
        <v>ACCOMODATION HDB</v>
      </c>
    </row>
    <row r="53" spans="1:43" ht="16.5" thickBot="1">
      <c r="A53" s="1"/>
      <c r="B53" s="1"/>
      <c r="C53" s="1"/>
      <c r="D53" s="14" t="s">
        <v>182</v>
      </c>
      <c r="E53" s="1"/>
      <c r="F53" s="1"/>
      <c r="G53" s="27" t="s">
        <v>260</v>
      </c>
      <c r="H53" s="1"/>
      <c r="I53" s="1"/>
      <c r="J53" s="1"/>
      <c r="K53" s="1"/>
      <c r="L53" s="1"/>
      <c r="M53" s="1"/>
      <c r="N53" s="1"/>
      <c r="O53" s="1"/>
      <c r="P53" s="14" t="s">
        <v>123</v>
      </c>
      <c r="Q53" s="1">
        <f ca="1">IF(ISERROR(SEARCH(INDIRECT(CELL("address")),P53:P178)),0,1)</f>
        <v>1</v>
      </c>
      <c r="R53" s="1">
        <f ca="1">IF(Q53=0,"",COUNTIF($Q$2:Q53,1))</f>
        <v>52</v>
      </c>
      <c r="S53" s="1" t="str">
        <f ca="1">IFERROR(INDEX(P:P, MATCH(ROW(R52),R:R,0)),"")</f>
        <v>MAYBANK ATM</v>
      </c>
      <c r="T53" s="1"/>
      <c r="U53" s="1"/>
      <c r="V53" s="27" t="s">
        <v>262</v>
      </c>
      <c r="W53" s="28">
        <f t="shared" ca="1" si="7"/>
        <v>1</v>
      </c>
      <c r="X53" s="28">
        <f ca="1">IF(W53=0,"",COUNTIF($W$2:W53,1))</f>
        <v>52</v>
      </c>
      <c r="Y53" s="28" t="str">
        <f t="shared" ca="1" si="8"/>
        <v>ACCOMODATION CO LIVING &amp; OTHERS</v>
      </c>
    </row>
    <row r="54" spans="1:43" ht="16.5" thickBot="1">
      <c r="A54" s="1"/>
      <c r="B54" s="1"/>
      <c r="C54" s="1"/>
      <c r="D54" s="14" t="s">
        <v>134</v>
      </c>
      <c r="E54" s="1"/>
      <c r="F54" s="1"/>
      <c r="G54" s="27" t="s">
        <v>187</v>
      </c>
      <c r="H54" s="1"/>
      <c r="I54" s="1"/>
      <c r="J54" s="1"/>
      <c r="K54" s="1"/>
      <c r="L54" s="1"/>
      <c r="M54" s="1"/>
      <c r="N54" s="1"/>
      <c r="O54" s="1"/>
      <c r="P54" s="14" t="s">
        <v>101</v>
      </c>
      <c r="Q54" s="1">
        <f ca="1">IF(ISERROR(SEARCH(INDIRECT(CELL("address")),P54:P179)),0,1)</f>
        <v>1</v>
      </c>
      <c r="R54" s="1">
        <f ca="1">IF(Q54=0,"",COUNTIF($Q$2:Q54,1))</f>
        <v>53</v>
      </c>
      <c r="S54" s="1" t="str">
        <f ca="1">IFERROR(INDEX(P:P, MATCH(ROW(R53),R:R,0)),"")</f>
        <v>HRD</v>
      </c>
      <c r="T54" s="1"/>
      <c r="U54" s="1"/>
      <c r="V54" s="27" t="s">
        <v>263</v>
      </c>
      <c r="W54" s="28">
        <f t="shared" ca="1" si="7"/>
        <v>1</v>
      </c>
      <c r="X54" s="28">
        <f ca="1">IF(W54=0,"",COUNTIF($W$2:W54,1))</f>
        <v>53</v>
      </c>
      <c r="Y54" s="28" t="str">
        <f t="shared" ca="1" si="8"/>
        <v>Insurance Others-Industral Risk</v>
      </c>
    </row>
    <row r="55" spans="1:43" ht="16.5" thickBot="1">
      <c r="A55" s="1"/>
      <c r="B55" s="1"/>
      <c r="C55" s="1"/>
      <c r="D55" s="14" t="s">
        <v>70</v>
      </c>
      <c r="E55" s="1"/>
      <c r="F55" s="1"/>
      <c r="G55" s="27" t="s">
        <v>261</v>
      </c>
      <c r="H55" s="1"/>
      <c r="I55" s="1"/>
      <c r="J55" s="1"/>
      <c r="K55" s="1"/>
      <c r="L55" s="1"/>
      <c r="M55" s="1"/>
      <c r="N55" s="1"/>
      <c r="O55" s="1"/>
      <c r="P55" s="14" t="s">
        <v>141</v>
      </c>
      <c r="Q55" s="1">
        <f ca="1">IF(ISERROR(SEARCH(INDIRECT(CELL("address")),P55:P180)),0,1)</f>
        <v>1</v>
      </c>
      <c r="R55" s="1">
        <f ca="1">IF(Q55=0,"",COUNTIF($Q$2:Q55,1))</f>
        <v>54</v>
      </c>
      <c r="S55" s="1" t="str">
        <f ca="1">IFERROR(INDEX(P:P, MATCH(ROW(R54),R:R,0)),"")</f>
        <v>PMC</v>
      </c>
      <c r="T55" s="1"/>
      <c r="U55" s="1"/>
      <c r="V55" s="27" t="s">
        <v>264</v>
      </c>
      <c r="W55" s="28">
        <f t="shared" ca="1" si="7"/>
        <v>1</v>
      </c>
      <c r="X55" s="28">
        <f ca="1">IF(W55=0,"",COUNTIF($W$2:W55,1))</f>
        <v>54</v>
      </c>
      <c r="Y55" s="28" t="str">
        <f t="shared" ca="1" si="8"/>
        <v>INS - OTHERS</v>
      </c>
    </row>
    <row r="56" spans="1:43" ht="16.5" thickBot="1">
      <c r="A56" s="1"/>
      <c r="B56" s="1"/>
      <c r="C56" s="1"/>
      <c r="D56" s="14" t="s">
        <v>123</v>
      </c>
      <c r="E56" s="1"/>
      <c r="F56" s="1"/>
      <c r="G56" s="27" t="s">
        <v>262</v>
      </c>
      <c r="H56" s="1"/>
      <c r="I56" s="1"/>
      <c r="J56" s="1"/>
      <c r="K56" s="1"/>
      <c r="L56" s="1"/>
      <c r="M56" s="1"/>
      <c r="N56" s="1"/>
      <c r="O56" s="1"/>
      <c r="P56" s="14" t="s">
        <v>50</v>
      </c>
      <c r="Q56" s="1">
        <f ca="1">IF(ISERROR(SEARCH(INDIRECT(CELL("address")),P56:P181)),0,1)</f>
        <v>1</v>
      </c>
      <c r="R56" s="1">
        <f ca="1">IF(Q56=0,"",COUNTIF($Q$2:Q56,1))</f>
        <v>55</v>
      </c>
      <c r="S56" s="1" t="str">
        <f ca="1">IFERROR(INDEX(P:P, MATCH(ROW(R55),R:R,0)),"")</f>
        <v>BTR IFM</v>
      </c>
      <c r="T56" s="1"/>
      <c r="U56" s="1"/>
      <c r="V56" s="27" t="s">
        <v>265</v>
      </c>
      <c r="W56" s="28">
        <f t="shared" ca="1" si="7"/>
        <v>1</v>
      </c>
      <c r="X56" s="28">
        <f ca="1">IF(W56=0,"",COUNTIF($W$2:W56,1))</f>
        <v>55</v>
      </c>
      <c r="Y56" s="28" t="str">
        <f t="shared" ca="1" si="8"/>
        <v>WORKMEN COMP</v>
      </c>
    </row>
    <row r="57" spans="1:43" ht="16.5" thickBot="1">
      <c r="A57" s="1"/>
      <c r="B57" s="1"/>
      <c r="C57" s="1"/>
      <c r="D57" s="14" t="s">
        <v>101</v>
      </c>
      <c r="E57" s="1"/>
      <c r="F57" s="1"/>
      <c r="G57" s="27" t="s">
        <v>263</v>
      </c>
      <c r="H57" s="1"/>
      <c r="I57" s="1"/>
      <c r="J57" s="1"/>
      <c r="K57" s="1"/>
      <c r="L57" s="1"/>
      <c r="M57" s="1"/>
      <c r="N57" s="1"/>
      <c r="O57" s="1"/>
      <c r="P57" s="14" t="s">
        <v>75</v>
      </c>
      <c r="Q57" s="1">
        <f ca="1">IF(ISERROR(SEARCH(INDIRECT(CELL("address")),P57:P182)),0,1)</f>
        <v>1</v>
      </c>
      <c r="R57" s="1">
        <f ca="1">IF(Q57=0,"",COUNTIF($Q$2:Q57,1))</f>
        <v>56</v>
      </c>
      <c r="S57" s="1" t="str">
        <f ca="1">IFERROR(INDEX(P:P, MATCH(ROW(R56),R:R,0)),"")</f>
        <v>FM MA</v>
      </c>
      <c r="T57" s="1"/>
      <c r="U57" s="1"/>
      <c r="V57" s="27" t="s">
        <v>266</v>
      </c>
      <c r="W57" s="28">
        <f t="shared" ca="1" si="7"/>
        <v>1</v>
      </c>
      <c r="X57" s="28">
        <f ca="1">IF(W57=0,"",COUNTIF($W$2:W57,1))</f>
        <v>56</v>
      </c>
      <c r="Y57" s="28" t="str">
        <f t="shared" ca="1" si="8"/>
        <v>LICENCE FEE</v>
      </c>
    </row>
    <row r="58" spans="1:43" ht="16.5" thickBot="1">
      <c r="A58" s="1"/>
      <c r="B58" s="1"/>
      <c r="C58" s="1"/>
      <c r="D58" s="14" t="s">
        <v>141</v>
      </c>
      <c r="E58" s="1"/>
      <c r="F58" s="1"/>
      <c r="G58" s="27" t="s">
        <v>264</v>
      </c>
      <c r="H58" s="1"/>
      <c r="I58" s="1"/>
      <c r="J58" s="1"/>
      <c r="K58" s="1"/>
      <c r="L58" s="1"/>
      <c r="M58" s="1"/>
      <c r="N58" s="1"/>
      <c r="O58" s="1"/>
      <c r="P58" s="14" t="s">
        <v>40</v>
      </c>
      <c r="Q58" s="1">
        <f ca="1">IF(ISERROR(SEARCH(INDIRECT(CELL("address")),P58:P183)),0,1)</f>
        <v>1</v>
      </c>
      <c r="R58" s="1">
        <f ca="1">IF(Q58=0,"",COUNTIF($Q$2:Q58,1))</f>
        <v>57</v>
      </c>
      <c r="S58" s="1" t="str">
        <f ca="1">IFERROR(INDEX(P:P, MATCH(ROW(R57),R:R,0)),"")</f>
        <v>AMARA SC</v>
      </c>
      <c r="T58" s="1"/>
      <c r="U58" s="1"/>
      <c r="V58" s="27" t="s">
        <v>267</v>
      </c>
      <c r="W58" s="28">
        <f t="shared" ca="1" si="7"/>
        <v>1</v>
      </c>
      <c r="X58" s="28">
        <f ca="1">IF(W58=0,"",COUNTIF($W$2:W58,1))</f>
        <v>57</v>
      </c>
      <c r="Y58" s="28" t="str">
        <f t="shared" ca="1" si="8"/>
        <v>RENT - OE, P&amp;M KKH</v>
      </c>
    </row>
    <row r="59" spans="1:43" ht="16.5" thickBot="1">
      <c r="A59" s="1"/>
      <c r="B59" s="1"/>
      <c r="C59" s="1"/>
      <c r="D59" s="14" t="s">
        <v>50</v>
      </c>
      <c r="E59" s="1"/>
      <c r="F59" s="1"/>
      <c r="G59" s="27" t="s">
        <v>265</v>
      </c>
      <c r="H59" s="1"/>
      <c r="I59" s="1"/>
      <c r="J59" s="1"/>
      <c r="K59" s="1"/>
      <c r="L59" s="1"/>
      <c r="M59" s="1"/>
      <c r="N59" s="1"/>
      <c r="O59" s="1"/>
      <c r="P59" s="14" t="s">
        <v>127</v>
      </c>
      <c r="Q59" s="1">
        <f ca="1">IF(ISERROR(SEARCH(INDIRECT(CELL("address")),P59:P184)),0,1)</f>
        <v>1</v>
      </c>
      <c r="R59" s="1">
        <f ca="1">IF(Q59=0,"",COUNTIF($Q$2:Q59,1))</f>
        <v>58</v>
      </c>
      <c r="S59" s="1" t="str">
        <f ca="1">IFERROR(INDEX(P:P, MATCH(ROW(R58),R:R,0)),"")</f>
        <v>MITSUI HOUSE</v>
      </c>
      <c r="T59" s="1"/>
      <c r="U59" s="1"/>
      <c r="V59" s="27" t="s">
        <v>268</v>
      </c>
      <c r="W59" s="28">
        <f t="shared" ca="1" si="7"/>
        <v>1</v>
      </c>
      <c r="X59" s="28">
        <f ca="1">IF(W59=0,"",COUNTIF($W$2:W59,1))</f>
        <v>58</v>
      </c>
      <c r="Y59" s="28" t="str">
        <f t="shared" ca="1" si="8"/>
        <v>HQ - OFFICE/WAREHOUSE RENT - EXTERNAL</v>
      </c>
    </row>
    <row r="60" spans="1:43" ht="16.5" thickBot="1">
      <c r="A60" s="1"/>
      <c r="B60" s="1"/>
      <c r="C60" s="1"/>
      <c r="D60" s="14" t="s">
        <v>75</v>
      </c>
      <c r="E60" s="1"/>
      <c r="F60" s="1"/>
      <c r="G60" s="27" t="s">
        <v>266</v>
      </c>
      <c r="H60" s="1"/>
      <c r="I60" s="1"/>
      <c r="J60" s="1"/>
      <c r="K60" s="1"/>
      <c r="L60" s="1"/>
      <c r="M60" s="1"/>
      <c r="N60" s="1"/>
      <c r="O60" s="1"/>
      <c r="P60" s="14" t="s">
        <v>139</v>
      </c>
      <c r="Q60" s="1">
        <f ca="1">IF(ISERROR(SEARCH(INDIRECT(CELL("address")),P60:P185)),0,1)</f>
        <v>1</v>
      </c>
      <c r="R60" s="1">
        <f ca="1">IF(Q60=0,"",COUNTIF($Q$2:Q60,1))</f>
        <v>59</v>
      </c>
      <c r="S60" s="1" t="str">
        <f ca="1">IFERROR(INDEX(P:P, MATCH(ROW(R59),R:R,0)),"")</f>
        <v>PARLIAMENT</v>
      </c>
      <c r="T60" s="1"/>
      <c r="U60" s="1"/>
      <c r="V60" s="27" t="s">
        <v>269</v>
      </c>
      <c r="W60" s="28">
        <f t="shared" ca="1" si="7"/>
        <v>1</v>
      </c>
      <c r="X60" s="28">
        <f ca="1">IF(W60=0,"",COUNTIF($W$2:W60,1))</f>
        <v>59</v>
      </c>
      <c r="Y60" s="28" t="str">
        <f t="shared" ca="1" si="8"/>
        <v>REPAIRS &amp; MAINTENANCE - OTHERS</v>
      </c>
    </row>
    <row r="61" spans="1:43" ht="16.5" thickBot="1">
      <c r="A61" s="1"/>
      <c r="B61" s="1"/>
      <c r="C61" s="1"/>
      <c r="D61" s="14" t="s">
        <v>40</v>
      </c>
      <c r="E61" s="1"/>
      <c r="F61" s="1"/>
      <c r="G61" s="27" t="s">
        <v>267</v>
      </c>
      <c r="H61" s="1"/>
      <c r="I61" s="1"/>
      <c r="J61" s="1"/>
      <c r="K61" s="1"/>
      <c r="L61" s="1"/>
      <c r="M61" s="1"/>
      <c r="N61" s="1"/>
      <c r="O61" s="1"/>
      <c r="P61" s="14" t="s">
        <v>163</v>
      </c>
      <c r="Q61" s="1">
        <f ca="1">IF(ISERROR(SEARCH(INDIRECT(CELL("address")),P61:P186)),0,1)</f>
        <v>1</v>
      </c>
      <c r="R61" s="1">
        <f ca="1">IF(Q61=0,"",COUNTIF($Q$2:Q61,1))</f>
        <v>60</v>
      </c>
      <c r="S61" s="1" t="str">
        <f ca="1">IFERROR(INDEX(P:P, MATCH(ROW(R60),R:R,0)),"")</f>
        <v>WT</v>
      </c>
      <c r="T61" s="1"/>
      <c r="U61" s="1"/>
      <c r="V61" s="27" t="s">
        <v>270</v>
      </c>
      <c r="W61" s="28">
        <f t="shared" ca="1" si="7"/>
        <v>1</v>
      </c>
      <c r="X61" s="28">
        <f ca="1">IF(W61=0,"",COUNTIF($W$2:W61,1))</f>
        <v>60</v>
      </c>
      <c r="Y61" s="28" t="str">
        <f t="shared" ca="1" si="8"/>
        <v>RENTAL DEPOSIT</v>
      </c>
    </row>
    <row r="62" spans="1:43" ht="16.5" thickBot="1">
      <c r="A62" s="1"/>
      <c r="B62" s="1"/>
      <c r="C62" s="1"/>
      <c r="D62" s="14" t="s">
        <v>127</v>
      </c>
      <c r="E62" s="1"/>
      <c r="F62" s="1"/>
      <c r="G62" s="27" t="s">
        <v>268</v>
      </c>
      <c r="H62" s="1"/>
      <c r="I62" s="1"/>
      <c r="J62" s="1"/>
      <c r="K62" s="1"/>
      <c r="L62" s="1"/>
      <c r="M62" s="1"/>
      <c r="N62" s="1"/>
      <c r="O62" s="1"/>
      <c r="P62" s="14" t="s">
        <v>67</v>
      </c>
      <c r="Q62" s="1">
        <f ca="1">IF(ISERROR(SEARCH(INDIRECT(CELL("address")),P62:P187)),0,1)</f>
        <v>1</v>
      </c>
      <c r="R62" s="1">
        <f ca="1">IF(Q62=0,"",COUNTIF($Q$2:Q62,1))</f>
        <v>61</v>
      </c>
      <c r="S62" s="1" t="str">
        <f ca="1">IFERROR(INDEX(P:P, MATCH(ROW(R61),R:R,0)),"")</f>
        <v>CPIB</v>
      </c>
      <c r="T62" s="1"/>
      <c r="U62" s="1"/>
      <c r="V62" s="27" t="s">
        <v>271</v>
      </c>
      <c r="W62" s="28">
        <f t="shared" ca="1" si="7"/>
        <v>1</v>
      </c>
      <c r="X62" s="28">
        <f ca="1">IF(W62=0,"",COUNTIF($W$2:W62,1))</f>
        <v>61</v>
      </c>
      <c r="Y62" s="28" t="str">
        <f t="shared" ca="1" si="8"/>
        <v>TRAVELLING EXPENSES - OVERSEAS</v>
      </c>
    </row>
    <row r="63" spans="1:43" ht="16.5" thickBot="1">
      <c r="A63" s="1"/>
      <c r="B63" s="1"/>
      <c r="C63" s="1"/>
      <c r="D63" s="14" t="s">
        <v>139</v>
      </c>
      <c r="E63" s="1"/>
      <c r="F63" s="1"/>
      <c r="G63" s="27" t="s">
        <v>269</v>
      </c>
      <c r="H63" s="1"/>
      <c r="I63" s="1"/>
      <c r="J63" s="1"/>
      <c r="K63" s="1"/>
      <c r="L63" s="1"/>
      <c r="M63" s="1"/>
      <c r="N63" s="1"/>
      <c r="O63" s="1"/>
      <c r="P63" s="14" t="s">
        <v>138</v>
      </c>
      <c r="Q63" s="1">
        <f ca="1">IF(ISERROR(SEARCH(INDIRECT(CELL("address")),P63:P188)),0,1)</f>
        <v>1</v>
      </c>
      <c r="R63" s="1">
        <f ca="1">IF(Q63=0,"",COUNTIF($Q$2:Q63,1))</f>
        <v>62</v>
      </c>
      <c r="S63" s="1" t="str">
        <f ca="1">IFERROR(INDEX(P:P, MATCH(ROW(R62),R:R,0)),"")</f>
        <v>PAHB</v>
      </c>
      <c r="T63" s="1"/>
      <c r="U63" s="1"/>
      <c r="V63" s="27" t="s">
        <v>272</v>
      </c>
      <c r="W63" s="28">
        <f t="shared" ca="1" si="7"/>
        <v>1</v>
      </c>
      <c r="X63" s="28">
        <f ca="1">IF(W63=0,"",COUNTIF($W$2:W63,1))</f>
        <v>62</v>
      </c>
      <c r="Y63" s="28" t="str">
        <f t="shared" ca="1" si="8"/>
        <v>SCB 7144-001-0106345397</v>
      </c>
    </row>
    <row r="64" spans="1:43" ht="16.5" thickBot="1">
      <c r="A64" s="1"/>
      <c r="B64" s="1"/>
      <c r="C64" s="1"/>
      <c r="D64" s="14" t="s">
        <v>163</v>
      </c>
      <c r="E64" s="1"/>
      <c r="F64" s="1"/>
      <c r="G64" s="27" t="s">
        <v>270</v>
      </c>
      <c r="H64" s="1"/>
      <c r="I64" s="1"/>
      <c r="J64" s="1"/>
      <c r="K64" s="1"/>
      <c r="L64" s="1"/>
      <c r="M64" s="1"/>
      <c r="N64" s="1"/>
      <c r="O64" s="1"/>
      <c r="P64" s="14" t="s">
        <v>158</v>
      </c>
      <c r="Q64" s="1">
        <f ca="1">IF(ISERROR(SEARCH(INDIRECT(CELL("address")),P64:P189)),0,1)</f>
        <v>1</v>
      </c>
      <c r="R64" s="1">
        <f ca="1">IF(Q64=0,"",COUNTIF($Q$2:Q64,1))</f>
        <v>63</v>
      </c>
      <c r="S64" s="1" t="str">
        <f ca="1">IFERROR(INDEX(P:P, MATCH(ROW(R63),R:R,0)),"")</f>
        <v>SYFC</v>
      </c>
      <c r="T64" s="1"/>
      <c r="U64" s="1"/>
      <c r="V64" s="27" t="s">
        <v>273</v>
      </c>
      <c r="W64" s="28">
        <f t="shared" ca="1" si="7"/>
        <v>1</v>
      </c>
      <c r="X64" s="28">
        <f ca="1">IF(W64=0,"",COUNTIF($W$2:W64,1))</f>
        <v>63</v>
      </c>
      <c r="Y64" s="28" t="str">
        <f t="shared" ca="1" si="8"/>
        <v>UOB 451-303-920-9 (UEMS)</v>
      </c>
    </row>
    <row r="65" spans="1:25" ht="16.5" thickBot="1">
      <c r="A65" s="1"/>
      <c r="B65" s="1"/>
      <c r="C65" s="1"/>
      <c r="D65" s="14" t="s">
        <v>67</v>
      </c>
      <c r="E65" s="1"/>
      <c r="F65" s="1"/>
      <c r="G65" s="27" t="s">
        <v>271</v>
      </c>
      <c r="H65" s="1"/>
      <c r="I65" s="1"/>
      <c r="J65" s="1"/>
      <c r="K65" s="1"/>
      <c r="L65" s="1"/>
      <c r="M65" s="1"/>
      <c r="N65" s="1"/>
      <c r="O65" s="1"/>
      <c r="P65" s="14" t="s">
        <v>111</v>
      </c>
      <c r="Q65" s="1">
        <f ca="1">IF(ISERROR(SEARCH(INDIRECT(CELL("address")),P65:P190)),0,1)</f>
        <v>1</v>
      </c>
      <c r="R65" s="1">
        <f ca="1">IF(Q65=0,"",COUNTIF($Q$2:Q65,1))</f>
        <v>64</v>
      </c>
      <c r="S65" s="1" t="str">
        <f ca="1">IFERROR(INDEX(P:P, MATCH(ROW(R64),R:R,0)),"")</f>
        <v>JTCWS-HSK</v>
      </c>
      <c r="T65" s="1"/>
      <c r="U65" s="1"/>
      <c r="V65" s="27" t="s">
        <v>274</v>
      </c>
      <c r="W65" s="28">
        <f t="shared" ca="1" si="7"/>
        <v>1</v>
      </c>
      <c r="X65" s="28">
        <f ca="1">IF(W65=0,"",COUNTIF($W$2:W65,1))</f>
        <v>64</v>
      </c>
      <c r="Y65" s="28" t="str">
        <f t="shared" ca="1" si="8"/>
        <v>CIMB 200-050-088-7 (UEMS)</v>
      </c>
    </row>
    <row r="66" spans="1:25" ht="16.5" thickBot="1">
      <c r="A66" s="1"/>
      <c r="B66" s="1"/>
      <c r="C66" s="1"/>
      <c r="D66" s="14" t="s">
        <v>138</v>
      </c>
      <c r="E66" s="1"/>
      <c r="F66" s="1"/>
      <c r="G66" s="27" t="s">
        <v>272</v>
      </c>
      <c r="H66" s="1"/>
      <c r="I66" s="1"/>
      <c r="J66" s="1"/>
      <c r="K66" s="1"/>
      <c r="L66" s="1"/>
      <c r="M66" s="1"/>
      <c r="N66" s="1"/>
      <c r="O66" s="1"/>
      <c r="P66" s="14" t="s">
        <v>147</v>
      </c>
      <c r="Q66" s="1">
        <f ca="1">IF(ISERROR(SEARCH(INDIRECT(CELL("address")),P66:P191)),0,1)</f>
        <v>1</v>
      </c>
      <c r="R66" s="1">
        <f ca="1">IF(Q66=0,"",COUNTIF($Q$2:Q66,1))</f>
        <v>65</v>
      </c>
      <c r="S66" s="1" t="str">
        <f ca="1">IFERROR(INDEX(P:P, MATCH(ROW(R65),R:R,0)),"")</f>
        <v>RED CROSS</v>
      </c>
      <c r="T66" s="1"/>
      <c r="U66" s="1"/>
      <c r="V66" s="27" t="s">
        <v>275</v>
      </c>
      <c r="W66" s="28">
        <f t="shared" ca="1" si="7"/>
        <v>1</v>
      </c>
      <c r="X66" s="28">
        <f ca="1">IF(W66=0,"",COUNTIF($W$2:W66,1))</f>
        <v>65</v>
      </c>
      <c r="Y66" s="28" t="str">
        <f t="shared" ca="1" si="8"/>
        <v>CITI 0-006630-006 (UEMS)</v>
      </c>
    </row>
    <row r="67" spans="1:25" ht="16.5" thickBot="1">
      <c r="A67" s="1"/>
      <c r="B67" s="1"/>
      <c r="C67" s="1"/>
      <c r="D67" s="14" t="s">
        <v>158</v>
      </c>
      <c r="E67" s="1"/>
      <c r="F67" s="1"/>
      <c r="G67" s="27" t="s">
        <v>273</v>
      </c>
      <c r="H67" s="1"/>
      <c r="I67" s="1"/>
      <c r="J67" s="1"/>
      <c r="K67" s="1"/>
      <c r="L67" s="1"/>
      <c r="M67" s="1"/>
      <c r="N67" s="1"/>
      <c r="O67" s="1"/>
      <c r="P67" s="14" t="s">
        <v>55</v>
      </c>
      <c r="Q67" s="1">
        <f ca="1">IF(ISERROR(SEARCH(INDIRECT(CELL("address")),P67:P192)),0,1)</f>
        <v>1</v>
      </c>
      <c r="R67" s="1">
        <f ca="1">IF(Q67=0,"",COUNTIF($Q$2:Q67,1))</f>
        <v>66</v>
      </c>
      <c r="S67" s="1" t="str">
        <f ca="1">IFERROR(INDEX(P:P, MATCH(ROW(R66),R:R,0)),"")</f>
        <v>CARGOTEC</v>
      </c>
      <c r="T67" s="1"/>
      <c r="U67" s="1"/>
      <c r="V67" s="1"/>
    </row>
    <row r="68" spans="1:25" ht="16.5" thickBot="1">
      <c r="A68" s="1"/>
      <c r="B68" s="1"/>
      <c r="C68" s="1"/>
      <c r="D68" s="14" t="s">
        <v>111</v>
      </c>
      <c r="E68" s="1"/>
      <c r="F68" s="1"/>
      <c r="G68" s="27" t="s">
        <v>274</v>
      </c>
      <c r="H68" s="1"/>
      <c r="I68" s="1"/>
      <c r="J68" s="1"/>
      <c r="K68" s="1"/>
      <c r="L68" s="1"/>
      <c r="M68" s="1"/>
      <c r="N68" s="1"/>
      <c r="O68" s="1"/>
      <c r="P68" s="14" t="s">
        <v>64</v>
      </c>
      <c r="Q68" s="1">
        <f ca="1">IF(ISERROR(SEARCH(INDIRECT(CELL("address")),P68:P193)),0,1)</f>
        <v>1</v>
      </c>
      <c r="R68" s="1">
        <f ca="1">IF(Q68=0,"",COUNTIF($Q$2:Q68,1))</f>
        <v>67</v>
      </c>
      <c r="S68" s="1" t="str">
        <f ca="1">IFERROR(INDEX(P:P, MATCH(ROW(R67),R:R,0)),"")</f>
        <v>COGNITA FM</v>
      </c>
      <c r="T68" s="1"/>
      <c r="U68" s="1"/>
      <c r="V68" s="1"/>
    </row>
    <row r="69" spans="1:25">
      <c r="A69" s="1"/>
      <c r="B69" s="1"/>
      <c r="C69" s="1"/>
      <c r="D69" s="14" t="s">
        <v>147</v>
      </c>
      <c r="E69" s="1"/>
      <c r="F69" s="1"/>
      <c r="G69" s="27" t="s">
        <v>275</v>
      </c>
      <c r="H69" s="1"/>
      <c r="I69" s="1"/>
      <c r="J69" s="1"/>
      <c r="K69" s="1"/>
      <c r="L69" s="1"/>
      <c r="M69" s="1"/>
      <c r="N69" s="1"/>
      <c r="O69" s="1"/>
      <c r="P69" s="14" t="s">
        <v>153</v>
      </c>
      <c r="Q69" s="1">
        <f ca="1">IF(ISERROR(SEARCH(INDIRECT(CELL("address")),P69:P194)),0,1)</f>
        <v>1</v>
      </c>
      <c r="R69" s="1">
        <f ca="1">IF(Q69=0,"",COUNTIF($Q$2:Q69,1))</f>
        <v>68</v>
      </c>
      <c r="S69" s="1" t="str">
        <f ca="1">IFERROR(INDEX(P:P, MATCH(ROW(R68),R:R,0)),"")</f>
        <v>SEAB</v>
      </c>
      <c r="T69" s="1"/>
      <c r="U69" s="1"/>
      <c r="V69" s="1"/>
    </row>
    <row r="70" spans="1:25">
      <c r="A70" s="1"/>
      <c r="B70" s="1"/>
      <c r="C70" s="1"/>
      <c r="D70" s="14" t="s">
        <v>55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4" t="s">
        <v>156</v>
      </c>
      <c r="Q70" s="1">
        <f ca="1">IF(ISERROR(SEARCH(INDIRECT(CELL("address")),P70:P195)),0,1)</f>
        <v>1</v>
      </c>
      <c r="R70" s="1">
        <f ca="1">IF(Q70=0,"",COUNTIF($Q$2:Q70,1))</f>
        <v>69</v>
      </c>
      <c r="S70" s="1" t="str">
        <f ca="1">IFERROR(INDEX(P:P, MATCH(ROW(R69),R:R,0)),"")</f>
        <v>SLA</v>
      </c>
      <c r="T70" s="1"/>
      <c r="U70" s="1"/>
      <c r="V70" s="1"/>
    </row>
    <row r="71" spans="1:25">
      <c r="A71" s="1"/>
      <c r="B71" s="1"/>
      <c r="C71" s="1"/>
      <c r="D71" s="14" t="s">
        <v>64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4" t="s">
        <v>135</v>
      </c>
      <c r="Q71" s="1">
        <f ca="1">IF(ISERROR(SEARCH(INDIRECT(CELL("address")),P71:P196)),0,1)</f>
        <v>1</v>
      </c>
      <c r="R71" s="1">
        <f ca="1">IF(Q71=0,"",COUNTIF($Q$2:Q71,1))</f>
        <v>70</v>
      </c>
      <c r="S71" s="1" t="str">
        <f ca="1">IFERROR(INDEX(P:P, MATCH(ROW(R70),R:R,0)),"")</f>
        <v>NHB</v>
      </c>
      <c r="T71" s="1"/>
      <c r="U71" s="1"/>
      <c r="V71" s="1"/>
    </row>
    <row r="72" spans="1:25">
      <c r="A72" s="1"/>
      <c r="B72" s="1"/>
      <c r="C72" s="1"/>
      <c r="D72" s="14" t="s">
        <v>153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4" t="s">
        <v>73</v>
      </c>
      <c r="Q72" s="1">
        <f ca="1">IF(ISERROR(SEARCH(INDIRECT(CELL("address")),P72:P197)),0,1)</f>
        <v>1</v>
      </c>
      <c r="R72" s="1">
        <f ca="1">IF(Q72=0,"",COUNTIF($Q$2:Q72,1))</f>
        <v>71</v>
      </c>
      <c r="S72" s="1" t="str">
        <f ca="1">IFERROR(INDEX(P:P, MATCH(ROW(R71),R:R,0)),"")</f>
        <v>FM Float Team</v>
      </c>
      <c r="T72" s="1"/>
      <c r="U72" s="1"/>
      <c r="V72" s="1"/>
    </row>
    <row r="73" spans="1:25">
      <c r="A73" s="1"/>
      <c r="B73" s="1"/>
      <c r="C73" s="1"/>
      <c r="D73" s="14" t="s">
        <v>156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4" t="s">
        <v>106</v>
      </c>
      <c r="Q73" s="1">
        <f ca="1">IF(ISERROR(SEARCH(INDIRECT(CELL("address")),P73:P198)),0,1)</f>
        <v>1</v>
      </c>
      <c r="R73" s="1">
        <f ca="1">IF(Q73=0,"",COUNTIF($Q$2:Q73,1))</f>
        <v>72</v>
      </c>
      <c r="S73" s="1" t="str">
        <f ca="1">IFERROR(INDEX(P:P, MATCH(ROW(R72),R:R,0)),"")</f>
        <v>IPOS</v>
      </c>
      <c r="T73" s="1"/>
      <c r="U73" s="1"/>
      <c r="V73" s="1"/>
    </row>
    <row r="74" spans="1:25">
      <c r="A74" s="1"/>
      <c r="B74" s="1"/>
      <c r="C74" s="1"/>
      <c r="D74" s="14" t="s">
        <v>135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4" t="s">
        <v>103</v>
      </c>
      <c r="Q74" s="1">
        <f ca="1">IF(ISERROR(SEARCH(INDIRECT(CELL("address")),P74:P199)),0,1)</f>
        <v>1</v>
      </c>
      <c r="R74" s="1">
        <f ca="1">IF(Q74=0,"",COUNTIF($Q$2:Q74,1))</f>
        <v>73</v>
      </c>
      <c r="S74" s="1" t="str">
        <f ca="1">IFERROR(INDEX(P:P, MATCH(ROW(R73),R:R,0)),"")</f>
        <v>IFS</v>
      </c>
      <c r="T74" s="1"/>
      <c r="U74" s="1"/>
      <c r="V74" s="1"/>
    </row>
    <row r="75" spans="1:25">
      <c r="A75" s="1"/>
      <c r="B75" s="1"/>
      <c r="C75" s="1"/>
      <c r="D75" s="14" t="s">
        <v>73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4" t="s">
        <v>140</v>
      </c>
      <c r="Q75" s="1">
        <f ca="1">IF(ISERROR(SEARCH(INDIRECT(CELL("address")),P75:P200)),0,1)</f>
        <v>1</v>
      </c>
      <c r="R75" s="1">
        <f ca="1">IF(Q75=0,"",COUNTIF($Q$2:Q75,1))</f>
        <v>74</v>
      </c>
      <c r="S75" s="1" t="str">
        <f ca="1">IFERROR(INDEX(P:P, MATCH(ROW(R74),R:R,0)),"")</f>
        <v>PCF</v>
      </c>
      <c r="T75" s="1"/>
      <c r="U75" s="1"/>
      <c r="V75" s="1"/>
    </row>
    <row r="76" spans="1:25">
      <c r="A76" s="1"/>
      <c r="B76" s="1"/>
      <c r="C76" s="1"/>
      <c r="D76" s="14" t="s">
        <v>106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4" t="s">
        <v>149</v>
      </c>
      <c r="Q76" s="1">
        <f ca="1">IF(ISERROR(SEARCH(INDIRECT(CELL("address")),P76:P201)),0,1)</f>
        <v>1</v>
      </c>
      <c r="R76" s="1">
        <f ca="1">IF(Q76=0,"",COUNTIF($Q$2:Q76,1))</f>
        <v>75</v>
      </c>
      <c r="S76" s="1" t="str">
        <f ca="1">IFERROR(INDEX(P:P, MATCH(ROW(R75),R:R,0)),"")</f>
        <v>SABANA</v>
      </c>
      <c r="T76" s="1"/>
      <c r="U76" s="1"/>
      <c r="V76" s="1"/>
    </row>
    <row r="77" spans="1:25">
      <c r="A77" s="1"/>
      <c r="B77" s="1"/>
      <c r="C77" s="1"/>
      <c r="D77" s="14" t="s">
        <v>103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4" t="s">
        <v>80</v>
      </c>
      <c r="Q77" s="1">
        <f ca="1">IF(ISERROR(SEARCH(INDIRECT(CELL("address")),P77:P202)),0,1)</f>
        <v>1</v>
      </c>
      <c r="R77" s="1">
        <f ca="1">IF(Q77=0,"",COUNTIF($Q$2:Q77,1))</f>
        <v>76</v>
      </c>
      <c r="S77" s="1" t="str">
        <f ca="1">IFERROR(INDEX(P:P, MATCH(ROW(R76),R:R,0)),"")</f>
        <v>GSP</v>
      </c>
      <c r="T77" s="1"/>
      <c r="U77" s="1"/>
      <c r="V77" s="1"/>
    </row>
    <row r="78" spans="1:25">
      <c r="A78" s="1"/>
      <c r="B78" s="1"/>
      <c r="C78" s="1"/>
      <c r="D78" s="14" t="s">
        <v>140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4" t="s">
        <v>144</v>
      </c>
      <c r="Q78" s="1">
        <f ca="1">IF(ISERROR(SEARCH(INDIRECT(CELL("address")),P78:P203)),0,1)</f>
        <v>1</v>
      </c>
      <c r="R78" s="1">
        <f ca="1">IF(Q78=0,"",COUNTIF($Q$2:Q78,1))</f>
        <v>77</v>
      </c>
      <c r="S78" s="1" t="str">
        <f ca="1">IFERROR(INDEX(P:P, MATCH(ROW(R77),R:R,0)),"")</f>
        <v>PMC - DISINFECTION</v>
      </c>
      <c r="T78" s="1"/>
      <c r="U78" s="1"/>
      <c r="V78" s="1"/>
    </row>
    <row r="79" spans="1:25">
      <c r="A79" s="1"/>
      <c r="B79" s="1"/>
      <c r="C79" s="1"/>
      <c r="D79" s="14" t="s">
        <v>149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4" t="s">
        <v>151</v>
      </c>
      <c r="Q79" s="1">
        <f ca="1">IF(ISERROR(SEARCH(INDIRECT(CELL("address")),P79:P204)),0,1)</f>
        <v>1</v>
      </c>
      <c r="R79" s="1">
        <f ca="1">IF(Q79=0,"",COUNTIF($Q$2:Q79,1))</f>
        <v>78</v>
      </c>
      <c r="S79" s="1" t="str">
        <f ca="1">IFERROR(INDEX(P:P, MATCH(ROW(R78),R:R,0)),"")</f>
        <v>SAM</v>
      </c>
      <c r="T79" s="1"/>
      <c r="U79" s="1"/>
      <c r="V79" s="1"/>
    </row>
    <row r="80" spans="1:25">
      <c r="A80" s="1"/>
      <c r="B80" s="1"/>
      <c r="C80" s="1"/>
      <c r="D80" s="14" t="s">
        <v>80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4" t="s">
        <v>150</v>
      </c>
      <c r="Q80" s="1">
        <f ca="1">IF(ISERROR(SEARCH(INDIRECT(CELL("address")),P80:P205)),0,1)</f>
        <v>1</v>
      </c>
      <c r="R80" s="1">
        <f ca="1">IF(Q80=0,"",COUNTIF($Q$2:Q80,1))</f>
        <v>79</v>
      </c>
      <c r="S80" s="1" t="str">
        <f ca="1">IFERROR(INDEX(P:P, MATCH(ROW(R79),R:R,0)),"")</f>
        <v>SABANA PENJURU</v>
      </c>
      <c r="T80" s="1"/>
      <c r="U80" s="1"/>
      <c r="V80" s="1"/>
    </row>
    <row r="81" spans="1:22">
      <c r="A81" s="1"/>
      <c r="B81" s="1"/>
      <c r="C81" s="1"/>
      <c r="D81" s="14" t="s">
        <v>144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4" t="s">
        <v>137</v>
      </c>
      <c r="Q81" s="1">
        <f ca="1">IF(ISERROR(SEARCH(INDIRECT(CELL("address")),P81:P206)),0,1)</f>
        <v>1</v>
      </c>
      <c r="R81" s="1">
        <f ca="1">IF(Q81=0,"",COUNTIF($Q$2:Q81,1))</f>
        <v>80</v>
      </c>
      <c r="S81" s="1" t="str">
        <f ca="1">IFERROR(INDEX(P:P, MATCH(ROW(R80),R:R,0)),"")</f>
        <v>PA - CLUSTER</v>
      </c>
      <c r="T81" s="1"/>
      <c r="U81" s="1"/>
      <c r="V81" s="1"/>
    </row>
    <row r="82" spans="1:22">
      <c r="A82" s="1"/>
      <c r="B82" s="1"/>
      <c r="C82" s="1"/>
      <c r="D82" s="14" t="s">
        <v>151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4" t="s">
        <v>128</v>
      </c>
      <c r="Q82" s="1">
        <f ca="1">IF(ISERROR(SEARCH(INDIRECT(CELL("address")),P82:P207)),0,1)</f>
        <v>1</v>
      </c>
      <c r="R82" s="1">
        <f ca="1">IF(Q82=0,"",COUNTIF($Q$2:Q82,1))</f>
        <v>81</v>
      </c>
      <c r="S82" s="1" t="str">
        <f ca="1">IFERROR(INDEX(P:P, MATCH(ROW(R81),R:R,0)),"")</f>
        <v>MOHH</v>
      </c>
      <c r="T82" s="1"/>
      <c r="U82" s="1"/>
      <c r="V82" s="1"/>
    </row>
    <row r="83" spans="1:22">
      <c r="A83" s="1"/>
      <c r="B83" s="1"/>
      <c r="C83" s="1"/>
      <c r="D83" s="14" t="s">
        <v>150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4" t="s">
        <v>142</v>
      </c>
      <c r="Q83" s="1">
        <f ca="1">IF(ISERROR(SEARCH(INDIRECT(CELL("address")),P83:P208)),0,1)</f>
        <v>1</v>
      </c>
      <c r="R83" s="1">
        <f ca="1">IF(Q83=0,"",COUNTIF($Q$2:Q83,1))</f>
        <v>82</v>
      </c>
      <c r="S83" s="1" t="str">
        <f ca="1">IFERROR(INDEX(P:P, MATCH(ROW(R82),R:R,0)),"")</f>
        <v>PMC - BTR</v>
      </c>
      <c r="T83" s="1"/>
      <c r="U83" s="1"/>
      <c r="V83" s="1"/>
    </row>
    <row r="84" spans="1:22">
      <c r="A84" s="1"/>
      <c r="B84" s="1"/>
      <c r="C84" s="1"/>
      <c r="D84" s="14" t="s">
        <v>137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4" t="s">
        <v>143</v>
      </c>
      <c r="Q84" s="1">
        <f ca="1">IF(ISERROR(SEARCH(INDIRECT(CELL("address")),P84:P209)),0,1)</f>
        <v>1</v>
      </c>
      <c r="R84" s="1">
        <f ca="1">IF(Q84=0,"",COUNTIF($Q$2:Q84,1))</f>
        <v>83</v>
      </c>
      <c r="S84" s="1" t="str">
        <f ca="1">IFERROR(INDEX(P:P, MATCH(ROW(R83),R:R,0)),"")</f>
        <v>PMC - CPIB</v>
      </c>
      <c r="T84" s="1"/>
      <c r="U84" s="1"/>
      <c r="V84" s="1"/>
    </row>
    <row r="85" spans="1:22">
      <c r="A85" s="1"/>
      <c r="B85" s="1"/>
      <c r="C85" s="1"/>
      <c r="D85" s="14" t="s">
        <v>128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4" t="s">
        <v>146</v>
      </c>
      <c r="Q85" s="1">
        <f ca="1">IF(ISERROR(SEARCH(INDIRECT(CELL("address")),P85:P210)),0,1)</f>
        <v>1</v>
      </c>
      <c r="R85" s="1">
        <f ca="1">IF(Q85=0,"",COUNTIF($Q$2:Q85,1))</f>
        <v>84</v>
      </c>
      <c r="S85" s="1" t="str">
        <f ca="1">IFERROR(INDEX(P:P, MATCH(ROW(R84),R:R,0)),"")</f>
        <v>PMC - PARHSE</v>
      </c>
      <c r="T85" s="1"/>
      <c r="U85" s="1"/>
      <c r="V85" s="1"/>
    </row>
    <row r="86" spans="1:22">
      <c r="A86" s="1"/>
      <c r="B86" s="1"/>
      <c r="C86" s="1"/>
      <c r="D86" s="14" t="s">
        <v>142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4" t="s">
        <v>145</v>
      </c>
      <c r="Q86" s="1">
        <f ca="1">IF(ISERROR(SEARCH(INDIRECT(CELL("address")),P86:P211)),0,1)</f>
        <v>1</v>
      </c>
      <c r="R86" s="1">
        <f ca="1">IF(Q86=0,"",COUNTIF($Q$2:Q86,1))</f>
        <v>85</v>
      </c>
      <c r="S86" s="1" t="str">
        <f ca="1">IFERROR(INDEX(P:P, MATCH(ROW(R85),R:R,0)),"")</f>
        <v>PMC - PA Cluster</v>
      </c>
      <c r="T86" s="1"/>
      <c r="U86" s="1"/>
      <c r="V86" s="1"/>
    </row>
    <row r="87" spans="1:22">
      <c r="A87" s="1"/>
      <c r="B87" s="1"/>
      <c r="C87" s="1"/>
      <c r="D87" s="14" t="s">
        <v>143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4" t="s">
        <v>121</v>
      </c>
      <c r="Q87" s="1">
        <f ca="1">IF(ISERROR(SEARCH(INDIRECT(CELL("address")),P87:P212)),0,1)</f>
        <v>1</v>
      </c>
      <c r="R87" s="1">
        <f ca="1">IF(Q87=0,"",COUNTIF($Q$2:Q87,1))</f>
        <v>86</v>
      </c>
      <c r="S87" s="1" t="str">
        <f ca="1">IFERROR(INDEX(P:P, MATCH(ROW(R86),R:R,0)),"")</f>
        <v>MAPLETREE - SRG</v>
      </c>
      <c r="T87" s="1"/>
      <c r="U87" s="1"/>
      <c r="V87" s="1"/>
    </row>
    <row r="88" spans="1:22">
      <c r="A88" s="1"/>
      <c r="B88" s="1"/>
      <c r="C88" s="1"/>
      <c r="D88" s="14" t="s">
        <v>146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4" t="s">
        <v>183</v>
      </c>
      <c r="Q88" s="1">
        <f ca="1">IF(ISERROR(SEARCH(INDIRECT(CELL("address")),P88:P213)),0,1)</f>
        <v>1</v>
      </c>
      <c r="R88" s="1">
        <f ca="1">IF(Q88=0,"",COUNTIF($Q$2:Q88,1))</f>
        <v>87</v>
      </c>
      <c r="S88" s="1" t="str">
        <f ca="1">IFERROR(INDEX(P:P, MATCH(ROW(R87),R:R,0)),"")</f>
        <v>SPB</v>
      </c>
      <c r="T88" s="1"/>
      <c r="U88" s="1"/>
      <c r="V88" s="1"/>
    </row>
    <row r="89" spans="1:22">
      <c r="A89" s="1"/>
      <c r="B89" s="1"/>
      <c r="C89" s="1"/>
      <c r="D89" s="14" t="s">
        <v>145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4" t="s">
        <v>184</v>
      </c>
      <c r="Q89" s="1">
        <f ca="1">IF(ISERROR(SEARCH(INDIRECT(CELL("address")),P89:P214)),0,1)</f>
        <v>1</v>
      </c>
      <c r="R89" s="1">
        <f ca="1">IF(Q89=0,"",COUNTIF($Q$2:Q89,1))</f>
        <v>88</v>
      </c>
      <c r="S89" s="1" t="str">
        <f ca="1">IFERROR(INDEX(P:P, MATCH(ROW(R88),R:R,0)),"")</f>
        <v xml:space="preserve">KWSH-M&amp;E </v>
      </c>
      <c r="T89" s="1"/>
      <c r="U89" s="1"/>
      <c r="V89" s="1"/>
    </row>
    <row r="90" spans="1:22">
      <c r="A90" s="1"/>
      <c r="B90" s="1"/>
      <c r="C90" s="1"/>
      <c r="D90" s="14" t="s">
        <v>121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4" t="s">
        <v>174</v>
      </c>
      <c r="Q90" s="1">
        <f ca="1">IF(ISERROR(SEARCH(INDIRECT(CELL("address")),P90:P215)),0,1)</f>
        <v>1</v>
      </c>
      <c r="R90" s="1">
        <f ca="1">IF(Q90=0,"",COUNTIF($Q$2:Q90,1))</f>
        <v>89</v>
      </c>
      <c r="S90" s="1" t="str">
        <f ca="1">IFERROR(INDEX(P:P, MATCH(ROW(R89),R:R,0)),"")</f>
        <v>NTUC HEALTH</v>
      </c>
      <c r="T90" s="1"/>
      <c r="U90" s="1"/>
      <c r="V90" s="1"/>
    </row>
    <row r="91" spans="1:22">
      <c r="A91" s="1"/>
      <c r="B91" s="1"/>
      <c r="C91" s="1"/>
      <c r="D91" s="14" t="s">
        <v>183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4" t="s">
        <v>175</v>
      </c>
      <c r="Q91" s="1">
        <f ca="1">IF(ISERROR(SEARCH(INDIRECT(CELL("address")),P91:P216)),0,1)</f>
        <v>1</v>
      </c>
      <c r="R91" s="1">
        <f ca="1">IF(Q91=0,"",COUNTIF($Q$2:Q91,1))</f>
        <v>90</v>
      </c>
      <c r="S91" s="1" t="str">
        <f ca="1">IFERROR(INDEX(P:P, MATCH(ROW(R90),R:R,0)),"")</f>
        <v>RC HOTELS</v>
      </c>
      <c r="T91" s="1"/>
      <c r="U91" s="1"/>
      <c r="V91" s="1"/>
    </row>
    <row r="92" spans="1:22">
      <c r="A92" s="1"/>
      <c r="B92" s="1"/>
      <c r="C92" s="1"/>
      <c r="D92" s="14" t="s">
        <v>184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4" t="s">
        <v>185</v>
      </c>
      <c r="Q92" s="1">
        <f ca="1">IF(ISERROR(SEARCH(INDIRECT(CELL("address")),P92:P217)),0,1)</f>
        <v>1</v>
      </c>
      <c r="R92" s="1">
        <f ca="1">IF(Q92=0,"",COUNTIF($Q$2:Q92,1))</f>
        <v>91</v>
      </c>
      <c r="S92" s="1" t="str">
        <f ca="1">IFERROR(INDEX(P:P, MATCH(ROW(R91),R:R,0)),"")</f>
        <v>URA</v>
      </c>
      <c r="T92" s="1"/>
      <c r="U92" s="1"/>
      <c r="V92" s="1"/>
    </row>
    <row r="93" spans="1:22">
      <c r="A93" s="1"/>
      <c r="B93" s="1"/>
      <c r="C93" s="1"/>
      <c r="D93" s="14" t="s">
        <v>174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4" t="s">
        <v>172</v>
      </c>
      <c r="Q93" s="1">
        <f ca="1">IF(ISERROR(SEARCH(INDIRECT(CELL("address")),P93:P218)),0,1)</f>
        <v>1</v>
      </c>
      <c r="R93" s="1">
        <f ca="1">IF(Q93=0,"",COUNTIF($Q$2:Q93,1))</f>
        <v>92</v>
      </c>
      <c r="S93" s="1" t="str">
        <f ca="1">IFERROR(INDEX(P:P, MATCH(ROW(R92),R:R,0)),"")</f>
        <v>NTUC-MA</v>
      </c>
      <c r="T93" s="1"/>
      <c r="U93" s="1"/>
      <c r="V93" s="1"/>
    </row>
    <row r="94" spans="1:22">
      <c r="A94" s="1"/>
      <c r="B94" s="1"/>
      <c r="C94" s="1"/>
      <c r="D94" s="14" t="s">
        <v>175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4" t="s">
        <v>173</v>
      </c>
      <c r="Q94" s="1">
        <f ca="1">IF(ISERROR(SEARCH(INDIRECT(CELL("address")),P94:P219)),0,1)</f>
        <v>1</v>
      </c>
      <c r="R94" s="1">
        <f ca="1">IF(Q94=0,"",COUNTIF($Q$2:Q94,1))</f>
        <v>93</v>
      </c>
      <c r="S94" s="1" t="str">
        <f ca="1">IFERROR(INDEX(P:P, MATCH(ROW(R93),R:R,0)),"")</f>
        <v>CREATE</v>
      </c>
      <c r="T94" s="1"/>
      <c r="U94" s="1"/>
      <c r="V94" s="1"/>
    </row>
    <row r="95" spans="1:22">
      <c r="A95" s="1"/>
      <c r="B95" s="1"/>
      <c r="C95" s="1"/>
      <c r="D95" s="14" t="s">
        <v>185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4" t="s">
        <v>201</v>
      </c>
      <c r="Q95" s="1">
        <f ca="1">IF(ISERROR(SEARCH(INDIRECT(CELL("address")),P95:P220)),0,1)</f>
        <v>1</v>
      </c>
      <c r="R95" s="1">
        <f ca="1">IF(Q95=0,"",COUNTIF($Q$2:Q95,1))</f>
        <v>94</v>
      </c>
      <c r="S95" s="1" t="str">
        <f ca="1">IFERROR(INDEX(P:P, MATCH(ROW(R94),R:R,0)),"")</f>
        <v>CCC</v>
      </c>
      <c r="T95" s="1"/>
      <c r="U95" s="1"/>
      <c r="V95" s="1"/>
    </row>
    <row r="96" spans="1:22">
      <c r="A96" s="1"/>
      <c r="B96" s="1"/>
      <c r="C96" s="1"/>
      <c r="D96" s="14" t="s">
        <v>172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4" t="s">
        <v>202</v>
      </c>
      <c r="Q96" s="1">
        <f ca="1">IF(ISERROR(SEARCH(INDIRECT(CELL("address")),P96:P221)),0,1)</f>
        <v>1</v>
      </c>
      <c r="R96" s="1">
        <f ca="1">IF(Q96=0,"",COUNTIF($Q$2:Q96,1))</f>
        <v>95</v>
      </c>
      <c r="S96" s="1" t="str">
        <f ca="1">IFERROR(INDEX(P:P, MATCH(ROW(R95),R:R,0)),"")</f>
        <v>KINN-HOTEL</v>
      </c>
      <c r="T96" s="1"/>
      <c r="U96" s="1"/>
      <c r="V96" s="1"/>
    </row>
    <row r="97" spans="1:22">
      <c r="A97" s="1"/>
      <c r="B97" s="1"/>
      <c r="C97" s="1"/>
      <c r="D97" s="14" t="s">
        <v>173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4" t="s">
        <v>203</v>
      </c>
      <c r="Q97" s="1">
        <f ca="1">IF(ISERROR(SEARCH(INDIRECT(CELL("address")),P97:P222)),0,1)</f>
        <v>1</v>
      </c>
      <c r="R97" s="1">
        <f ca="1">IF(Q97=0,"",COUNTIF($Q$2:Q97,1))</f>
        <v>96</v>
      </c>
      <c r="S97" s="1" t="str">
        <f ca="1">IFERROR(INDEX(P:P, MATCH(ROW(R96),R:R,0)),"")</f>
        <v>MHA</v>
      </c>
      <c r="T97" s="1"/>
      <c r="U97" s="1"/>
      <c r="V97" s="1"/>
    </row>
    <row r="98" spans="1:22">
      <c r="A98" s="1"/>
      <c r="B98" s="1"/>
      <c r="C98" s="1"/>
      <c r="D98" s="14" t="s">
        <v>201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4" t="s">
        <v>204</v>
      </c>
      <c r="Q98" s="1">
        <f ca="1">IF(ISERROR(SEARCH(INDIRECT(CELL("address")),P98:P223)),0,1)</f>
        <v>1</v>
      </c>
      <c r="R98" s="1">
        <f ca="1">IF(Q98=0,"",COUNTIF($Q$2:Q98,1))</f>
        <v>97</v>
      </c>
      <c r="S98" s="1" t="str">
        <f ca="1">IFERROR(INDEX(P:P, MATCH(ROW(R97),R:R,0)),"")</f>
        <v>CCS</v>
      </c>
      <c r="T98" s="1"/>
      <c r="U98" s="1"/>
      <c r="V98" s="1"/>
    </row>
    <row r="99" spans="1:22">
      <c r="A99" s="1"/>
      <c r="B99" s="1"/>
      <c r="C99" s="1"/>
      <c r="D99" s="14" t="s">
        <v>202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4" t="s">
        <v>205</v>
      </c>
      <c r="Q99" s="1">
        <f ca="1">IF(ISERROR(SEARCH(INDIRECT(CELL("address")),P99:P224)),0,1)</f>
        <v>1</v>
      </c>
      <c r="R99" s="1">
        <f ca="1">IF(Q99=0,"",COUNTIF($Q$2:Q99,1))</f>
        <v>98</v>
      </c>
      <c r="S99" s="1" t="str">
        <f ca="1">IFERROR(INDEX(P:P, MATCH(ROW(R98),R:R,0)),"")</f>
        <v>PCPH</v>
      </c>
      <c r="T99" s="1"/>
      <c r="U99" s="1"/>
      <c r="V99" s="1"/>
    </row>
    <row r="100" spans="1:22">
      <c r="A100" s="1"/>
      <c r="B100" s="1"/>
      <c r="C100" s="1"/>
      <c r="D100" s="14" t="s">
        <v>203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4" t="s">
        <v>206</v>
      </c>
      <c r="Q100" s="1">
        <f ca="1">IF(ISERROR(SEARCH(INDIRECT(CELL("address")),P100:P225)),0,1)</f>
        <v>1</v>
      </c>
      <c r="R100" s="1">
        <f ca="1">IF(Q100=0,"",COUNTIF($Q$2:Q100,1))</f>
        <v>99</v>
      </c>
      <c r="S100" s="1" t="str">
        <f ca="1">IFERROR(INDEX(P:P, MATCH(ROW(R99),R:R,0)),"")</f>
        <v>ALPHA WOMEN</v>
      </c>
      <c r="T100" s="1"/>
      <c r="U100" s="1"/>
      <c r="V100" s="1"/>
    </row>
    <row r="101" spans="1:22">
      <c r="A101" s="1"/>
      <c r="B101" s="1"/>
      <c r="C101" s="1"/>
      <c r="D101" s="14" t="s">
        <v>204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4" t="s">
        <v>207</v>
      </c>
      <c r="Q101" s="1">
        <f ca="1">IF(ISERROR(SEARCH(INDIRECT(CELL("address")),P101:P226)),0,1)</f>
        <v>1</v>
      </c>
      <c r="R101" s="1">
        <f ca="1">IF(Q101=0,"",COUNTIF($Q$2:Q101,1))</f>
        <v>100</v>
      </c>
      <c r="S101" s="1" t="str">
        <f ca="1">IFERROR(INDEX(P:P, MATCH(ROW(R100),R:R,0)),"")</f>
        <v>EARLY ASCENT</v>
      </c>
      <c r="T101" s="1"/>
      <c r="U101" s="1"/>
      <c r="V101" s="1"/>
    </row>
    <row r="102" spans="1:22">
      <c r="A102" s="1"/>
      <c r="B102" s="1"/>
      <c r="C102" s="1"/>
      <c r="D102" s="14" t="s">
        <v>205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4" t="s">
        <v>208</v>
      </c>
      <c r="Q102" s="1">
        <f ca="1">IF(ISERROR(SEARCH(INDIRECT(CELL("address")),P102:P227)),0,1)</f>
        <v>1</v>
      </c>
      <c r="R102" s="1">
        <f ca="1">IF(Q102=0,"",COUNTIF($Q$2:Q102,1))</f>
        <v>101</v>
      </c>
      <c r="S102" s="1" t="str">
        <f ca="1">IFERROR(INDEX(P:P, MATCH(ROW(R101),R:R,0)),"")</f>
        <v>FLOAT-HEALTHCARE</v>
      </c>
      <c r="T102" s="1"/>
      <c r="U102" s="1"/>
      <c r="V102" s="1"/>
    </row>
    <row r="103" spans="1:22">
      <c r="A103" s="1"/>
      <c r="B103" s="1"/>
      <c r="C103" s="1"/>
      <c r="D103" s="14" t="s">
        <v>206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4" t="s">
        <v>209</v>
      </c>
      <c r="Q103" s="1">
        <f ca="1">IF(ISERROR(SEARCH(INDIRECT(CELL("address")),P103:P228)),0,1)</f>
        <v>1</v>
      </c>
      <c r="R103" s="1">
        <f ca="1">IF(Q103=0,"",COUNTIF($Q$2:Q103,1))</f>
        <v>102</v>
      </c>
      <c r="S103" s="1" t="str">
        <f ca="1">IFERROR(INDEX(P:P, MATCH(ROW(R102),R:R,0)),"")</f>
        <v>AERCAP</v>
      </c>
      <c r="T103" s="1"/>
      <c r="U103" s="1"/>
      <c r="V103" s="1"/>
    </row>
    <row r="104" spans="1:22">
      <c r="A104" s="1"/>
      <c r="B104" s="1"/>
      <c r="C104" s="1"/>
      <c r="D104" s="14" t="s">
        <v>207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4" t="s">
        <v>210</v>
      </c>
      <c r="Q104" s="1">
        <f ca="1">IF(ISERROR(SEARCH(INDIRECT(CELL("address")),P104:P229)),0,1)</f>
        <v>1</v>
      </c>
      <c r="R104" s="1">
        <f ca="1">IF(Q104=0,"",COUNTIF($Q$2:Q104,1))</f>
        <v>103</v>
      </c>
      <c r="S104" s="1" t="str">
        <f ca="1">IFERROR(INDEX(P:P, MATCH(ROW(R103),R:R,0)),"")</f>
        <v>AIS(COGNITA HSK)</v>
      </c>
      <c r="T104" s="1"/>
      <c r="U104" s="1"/>
      <c r="V104" s="1"/>
    </row>
    <row r="105" spans="1:22">
      <c r="A105" s="1"/>
      <c r="B105" s="1"/>
      <c r="C105" s="1"/>
      <c r="D105" s="14" t="s">
        <v>208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4" t="s">
        <v>211</v>
      </c>
      <c r="Q105" s="1">
        <f ca="1">IF(ISERROR(SEARCH(INDIRECT(CELL("address")),P105:P230)),0,1)</f>
        <v>1</v>
      </c>
      <c r="R105" s="1">
        <f ca="1">IF(Q105=0,"",COUNTIF($Q$2:Q105,1))</f>
        <v>104</v>
      </c>
      <c r="S105" s="1" t="str">
        <f ca="1">IFERROR(INDEX(P:P, MATCH(ROW(R104),R:R,0)),"")</f>
        <v>HAIDILAO</v>
      </c>
      <c r="T105" s="1"/>
      <c r="U105" s="1"/>
      <c r="V105" s="1"/>
    </row>
    <row r="106" spans="1:22">
      <c r="A106" s="1"/>
      <c r="B106" s="1"/>
      <c r="C106" s="1"/>
      <c r="D106" s="14" t="s">
        <v>209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4" t="s">
        <v>212</v>
      </c>
      <c r="Q106" s="1">
        <f ca="1">IF(ISERROR(SEARCH(INDIRECT(CELL("address")),P106:P231)),0,1)</f>
        <v>1</v>
      </c>
      <c r="R106" s="1">
        <f ca="1">IF(Q106=0,"",COUNTIF($Q$2:Q106,1))</f>
        <v>105</v>
      </c>
      <c r="S106" s="1" t="str">
        <f ca="1">IFERROR(INDEX(P:P, MATCH(ROW(R105),R:R,0)),"")</f>
        <v>HITACHI</v>
      </c>
      <c r="T106" s="1"/>
      <c r="U106" s="1"/>
      <c r="V106" s="1"/>
    </row>
    <row r="107" spans="1:22">
      <c r="A107" s="1"/>
      <c r="B107" s="1"/>
      <c r="C107" s="1"/>
      <c r="D107" s="14" t="s">
        <v>210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4" t="s">
        <v>213</v>
      </c>
      <c r="Q107" s="1">
        <f ca="1">IF(ISERROR(SEARCH(INDIRECT(CELL("address")),P107:P232)),0,1)</f>
        <v>1</v>
      </c>
      <c r="R107" s="1">
        <f ca="1">IF(Q107=0,"",COUNTIF($Q$2:Q107,1))</f>
        <v>106</v>
      </c>
      <c r="S107" s="1" t="str">
        <f ca="1">IFERROR(INDEX(P:P, MATCH(ROW(R106),R:R,0)),"")</f>
        <v>DSBJ</v>
      </c>
      <c r="T107" s="1"/>
      <c r="U107" s="1"/>
      <c r="V107" s="1"/>
    </row>
    <row r="108" spans="1:22">
      <c r="A108" s="1"/>
      <c r="B108" s="1"/>
      <c r="C108" s="1"/>
      <c r="D108" s="14" t="s">
        <v>211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4" t="s">
        <v>214</v>
      </c>
      <c r="Q108" s="1">
        <f ca="1">IF(ISERROR(SEARCH(INDIRECT(CELL("address")),P108:P233)),0,1)</f>
        <v>1</v>
      </c>
      <c r="R108" s="1">
        <f ca="1">IF(Q108=0,"",COUNTIF($Q$2:Q108,1))</f>
        <v>107</v>
      </c>
      <c r="S108" s="1" t="str">
        <f ca="1">IFERROR(INDEX(P:P, MATCH(ROW(R107),R:R,0)),"")</f>
        <v>C&amp;W</v>
      </c>
      <c r="T108" s="1"/>
      <c r="U108" s="1"/>
      <c r="V108" s="1"/>
    </row>
    <row r="109" spans="1:22">
      <c r="A109" s="1"/>
      <c r="B109" s="1"/>
      <c r="C109" s="1"/>
      <c r="D109" s="14" t="s">
        <v>212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4" t="s">
        <v>215</v>
      </c>
      <c r="Q109" s="1">
        <f ca="1">IF(ISERROR(SEARCH(INDIRECT(CELL("address")),P109:P234)),0,1)</f>
        <v>1</v>
      </c>
      <c r="R109" s="1">
        <f ca="1">IF(Q109=0,"",COUNTIF($Q$2:Q109,1))</f>
        <v>108</v>
      </c>
      <c r="S109" s="1" t="str">
        <f ca="1">IFERROR(INDEX(P:P, MATCH(ROW(R108),R:R,0)),"")</f>
        <v>QBC</v>
      </c>
      <c r="T109" s="1"/>
      <c r="U109" s="1"/>
      <c r="V109" s="1"/>
    </row>
    <row r="110" spans="1:22">
      <c r="A110" s="1"/>
      <c r="B110" s="1"/>
      <c r="C110" s="1"/>
      <c r="D110" s="14" t="s">
        <v>213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4" t="s">
        <v>216</v>
      </c>
      <c r="Q110" s="1">
        <f ca="1">IF(ISERROR(SEARCH(INDIRECT(CELL("address")),P110:P235)),0,1)</f>
        <v>1</v>
      </c>
      <c r="R110" s="1">
        <f ca="1">IF(Q110=0,"",COUNTIF($Q$2:Q110,1))</f>
        <v>109</v>
      </c>
      <c r="S110" s="1" t="str">
        <f ca="1">IFERROR(INDEX(P:P, MATCH(ROW(R109),R:R,0)),"")</f>
        <v>FIS SYS</v>
      </c>
      <c r="T110" s="1"/>
      <c r="U110" s="1"/>
      <c r="V110" s="1"/>
    </row>
    <row r="111" spans="1:22">
      <c r="A111" s="1"/>
      <c r="B111" s="1"/>
      <c r="C111" s="1"/>
      <c r="D111" s="14" t="s">
        <v>214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4" t="s">
        <v>217</v>
      </c>
      <c r="Q111" s="1">
        <f ca="1">IF(ISERROR(SEARCH(INDIRECT(CELL("address")),P111:P236)),0,1)</f>
        <v>1</v>
      </c>
      <c r="R111" s="1">
        <f ca="1">IF(Q111=0,"",COUNTIF($Q$2:Q111,1))</f>
        <v>110</v>
      </c>
      <c r="S111" s="1" t="str">
        <f ca="1">IFERROR(INDEX(P:P, MATCH(ROW(R110),R:R,0)),"")</f>
        <v>KERRY EXPRESS</v>
      </c>
      <c r="T111" s="1"/>
      <c r="U111" s="1"/>
      <c r="V111" s="1"/>
    </row>
    <row r="112" spans="1:22">
      <c r="A112" s="1"/>
      <c r="B112" s="1"/>
      <c r="C112" s="1"/>
      <c r="D112" s="14" t="s">
        <v>215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4" t="s">
        <v>218</v>
      </c>
      <c r="Q112" s="1">
        <f ca="1">IF(ISERROR(SEARCH(INDIRECT(CELL("address")),P112:P237)),0,1)</f>
        <v>1</v>
      </c>
      <c r="R112" s="1">
        <f ca="1">IF(Q112=0,"",COUNTIF($Q$2:Q112,1))</f>
        <v>111</v>
      </c>
      <c r="S112" s="1" t="str">
        <f ca="1">IFERROR(INDEX(P:P, MATCH(ROW(R111),R:R,0)),"")</f>
        <v>EATON</v>
      </c>
      <c r="T112" s="1"/>
      <c r="U112" s="1"/>
      <c r="V112" s="1"/>
    </row>
    <row r="113" spans="1:22">
      <c r="A113" s="1"/>
      <c r="B113" s="1"/>
      <c r="C113" s="1"/>
      <c r="D113" s="14" t="s">
        <v>216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4" t="s">
        <v>219</v>
      </c>
      <c r="Q113" s="1">
        <f t="shared" ref="Q113:Q127" ca="1" si="11">IF(ISERROR(SEARCH(INDIRECT(CELL("address")),P113:P238)),0,1)</f>
        <v>1</v>
      </c>
      <c r="R113" s="23">
        <f ca="1">IF(Q113=0,"",COUNTIF($Q$2:Q113,1))</f>
        <v>112</v>
      </c>
      <c r="S113" s="23" t="str">
        <f t="shared" ref="S113:S127" ca="1" si="12">IFERROR(INDEX(P:P, MATCH(ROW(R112),R:R,0)),"")</f>
        <v>PAVE</v>
      </c>
      <c r="T113" s="1"/>
      <c r="U113" s="1"/>
      <c r="V113" s="1"/>
    </row>
    <row r="114" spans="1:22">
      <c r="A114" s="1"/>
      <c r="B114" s="1"/>
      <c r="C114" s="1"/>
      <c r="D114" s="14" t="s">
        <v>217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4" t="s">
        <v>220</v>
      </c>
      <c r="Q114" s="1">
        <f t="shared" ca="1" si="11"/>
        <v>1</v>
      </c>
      <c r="R114" s="23">
        <f ca="1">IF(Q114=0,"",COUNTIF($Q$2:Q114,1))</f>
        <v>113</v>
      </c>
      <c r="S114" s="23" t="str">
        <f t="shared" ca="1" si="12"/>
        <v>RCSS</v>
      </c>
      <c r="T114" s="1"/>
      <c r="U114" s="1"/>
      <c r="V114" s="1"/>
    </row>
    <row r="115" spans="1:22">
      <c r="A115" s="1"/>
      <c r="B115" s="1"/>
      <c r="C115" s="1"/>
      <c r="D115" s="14" t="s">
        <v>218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4" t="s">
        <v>221</v>
      </c>
      <c r="Q115" s="1">
        <f t="shared" ca="1" si="11"/>
        <v>1</v>
      </c>
      <c r="R115" s="23">
        <f ca="1">IF(Q115=0,"",COUNTIF($Q$2:Q115,1))</f>
        <v>114</v>
      </c>
      <c r="S115" s="23" t="str">
        <f t="shared" ca="1" si="12"/>
        <v>MUFG</v>
      </c>
      <c r="T115" s="1"/>
      <c r="U115" s="1"/>
      <c r="V115" s="1"/>
    </row>
    <row r="116" spans="1:22">
      <c r="A116" s="1"/>
      <c r="B116" s="1"/>
      <c r="C116" s="1"/>
      <c r="D116" s="14" t="s">
        <v>219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4" t="s">
        <v>222</v>
      </c>
      <c r="Q116" s="1">
        <f t="shared" ca="1" si="11"/>
        <v>1</v>
      </c>
      <c r="R116" s="23">
        <f ca="1">IF(Q116=0,"",COUNTIF($Q$2:Q116,1))</f>
        <v>115</v>
      </c>
      <c r="S116" s="23" t="str">
        <f t="shared" ca="1" si="12"/>
        <v>CNB</v>
      </c>
      <c r="T116" s="1"/>
      <c r="U116" s="1"/>
      <c r="V116" s="1"/>
    </row>
    <row r="117" spans="1:22">
      <c r="A117" s="1"/>
      <c r="B117" s="1"/>
      <c r="C117" s="1"/>
      <c r="D117" s="14" t="s">
        <v>220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4" t="s">
        <v>223</v>
      </c>
      <c r="Q117" s="1">
        <f t="shared" ca="1" si="11"/>
        <v>1</v>
      </c>
      <c r="R117" s="23">
        <f ca="1">IF(Q117=0,"",COUNTIF($Q$2:Q117,1))</f>
        <v>116</v>
      </c>
      <c r="S117" s="23" t="str">
        <f t="shared" ca="1" si="12"/>
        <v>MTI-DOS</v>
      </c>
      <c r="T117" s="1"/>
      <c r="U117" s="1"/>
      <c r="V117" s="1"/>
    </row>
    <row r="118" spans="1:22">
      <c r="A118" s="1"/>
      <c r="B118" s="1"/>
      <c r="C118" s="1"/>
      <c r="D118" s="14" t="s">
        <v>221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4" t="s">
        <v>224</v>
      </c>
      <c r="Q118" s="1">
        <f t="shared" ca="1" si="11"/>
        <v>1</v>
      </c>
      <c r="R118" s="23">
        <f ca="1">IF(Q118=0,"",COUNTIF($Q$2:Q118,1))</f>
        <v>117</v>
      </c>
      <c r="S118" s="23" t="str">
        <f t="shared" ca="1" si="12"/>
        <v>SABANA-HSK</v>
      </c>
      <c r="T118" s="1"/>
      <c r="U118" s="1"/>
      <c r="V118" s="1"/>
    </row>
    <row r="119" spans="1:22">
      <c r="A119" s="1"/>
      <c r="B119" s="1"/>
      <c r="C119" s="1"/>
      <c r="D119" s="14" t="s">
        <v>222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4" t="s">
        <v>225</v>
      </c>
      <c r="Q119" s="1">
        <f t="shared" ca="1" si="11"/>
        <v>1</v>
      </c>
      <c r="R119" s="23">
        <f ca="1">IF(Q119=0,"",COUNTIF($Q$2:Q119,1))</f>
        <v>118</v>
      </c>
      <c r="S119" s="23" t="str">
        <f t="shared" ca="1" si="12"/>
        <v>Metta Sch</v>
      </c>
      <c r="T119" s="1"/>
      <c r="U119" s="1"/>
      <c r="V119" s="1"/>
    </row>
    <row r="120" spans="1:22">
      <c r="A120" s="1"/>
      <c r="B120" s="1"/>
      <c r="C120" s="1"/>
      <c r="D120" s="14" t="s">
        <v>223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4" t="s">
        <v>226</v>
      </c>
      <c r="Q120" s="1">
        <f t="shared" ca="1" si="11"/>
        <v>1</v>
      </c>
      <c r="R120" s="23">
        <f ca="1">IF(Q120=0,"",COUNTIF($Q$2:Q120,1))</f>
        <v>119</v>
      </c>
      <c r="S120" s="23" t="str">
        <f t="shared" ca="1" si="12"/>
        <v>URA-HSK</v>
      </c>
      <c r="T120" s="1"/>
      <c r="U120" s="1"/>
      <c r="V120" s="1"/>
    </row>
    <row r="121" spans="1:22">
      <c r="A121" s="1"/>
      <c r="B121" s="1"/>
      <c r="C121" s="1"/>
      <c r="D121" s="14" t="s">
        <v>224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4" t="s">
        <v>227</v>
      </c>
      <c r="Q121" s="1">
        <f t="shared" ca="1" si="11"/>
        <v>1</v>
      </c>
      <c r="R121" s="23">
        <f ca="1">IF(Q121=0,"",COUNTIF($Q$2:Q121,1))</f>
        <v>120</v>
      </c>
      <c r="S121" s="23" t="str">
        <f t="shared" ca="1" si="12"/>
        <v>SAM-HSK</v>
      </c>
      <c r="T121" s="1"/>
      <c r="U121" s="1"/>
      <c r="V121" s="1"/>
    </row>
    <row r="122" spans="1:22">
      <c r="A122" s="1"/>
      <c r="B122" s="1"/>
      <c r="C122" s="1"/>
      <c r="D122" s="14" t="s">
        <v>225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4" t="s">
        <v>228</v>
      </c>
      <c r="Q122" s="1">
        <f t="shared" ca="1" si="11"/>
        <v>1</v>
      </c>
      <c r="R122" s="23">
        <f ca="1">IF(Q122=0,"",COUNTIF($Q$2:Q122,1))</f>
        <v>121</v>
      </c>
      <c r="S122" s="23" t="str">
        <f t="shared" ca="1" si="12"/>
        <v>BCS</v>
      </c>
      <c r="T122" s="1"/>
      <c r="U122" s="1"/>
      <c r="V122" s="1"/>
    </row>
    <row r="123" spans="1:22">
      <c r="A123" s="1"/>
      <c r="B123" s="1"/>
      <c r="C123" s="1"/>
      <c r="D123" s="14" t="s">
        <v>226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4" t="s">
        <v>229</v>
      </c>
      <c r="Q123" s="1">
        <f t="shared" ca="1" si="11"/>
        <v>1</v>
      </c>
      <c r="R123" s="23">
        <f ca="1">IF(Q123=0,"",COUNTIF($Q$2:Q123,1))</f>
        <v>122</v>
      </c>
      <c r="S123" s="23" t="str">
        <f t="shared" ca="1" si="12"/>
        <v>HQ-HOSPCOM</v>
      </c>
      <c r="T123" s="1"/>
      <c r="U123" s="1"/>
      <c r="V123" s="1"/>
    </row>
    <row r="124" spans="1:22">
      <c r="A124" s="1"/>
      <c r="B124" s="1"/>
      <c r="C124" s="1"/>
      <c r="D124" s="14" t="s">
        <v>227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4" t="s">
        <v>230</v>
      </c>
      <c r="Q124" s="1">
        <f t="shared" ca="1" si="11"/>
        <v>1</v>
      </c>
      <c r="R124" s="23">
        <f ca="1">IF(Q124=0,"",COUNTIF($Q$2:Q124,1))</f>
        <v>123</v>
      </c>
      <c r="S124" s="23" t="str">
        <f t="shared" ca="1" si="12"/>
        <v>KWSH-M&amp;E</v>
      </c>
      <c r="T124" s="1"/>
      <c r="U124" s="1"/>
      <c r="V124" s="1"/>
    </row>
    <row r="125" spans="1:22">
      <c r="A125" s="1"/>
      <c r="B125" s="1"/>
      <c r="C125" s="1"/>
      <c r="D125" s="14" t="s">
        <v>228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4" t="s">
        <v>231</v>
      </c>
      <c r="Q125" s="1">
        <f t="shared" ca="1" si="11"/>
        <v>1</v>
      </c>
      <c r="R125" s="23">
        <f ca="1">IF(Q125=0,"",COUNTIF($Q$2:Q125,1))</f>
        <v>124</v>
      </c>
      <c r="S125" s="23" t="str">
        <f t="shared" ca="1" si="12"/>
        <v>SPORTSG</v>
      </c>
      <c r="T125" s="1"/>
      <c r="U125" s="1"/>
      <c r="V125" s="1"/>
    </row>
    <row r="126" spans="1:22">
      <c r="A126" s="1"/>
      <c r="B126" s="1"/>
      <c r="C126" s="1"/>
      <c r="D126" s="14" t="s">
        <v>229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4" t="s">
        <v>232</v>
      </c>
      <c r="Q126" s="1">
        <f t="shared" ca="1" si="11"/>
        <v>1</v>
      </c>
      <c r="R126" s="23">
        <f ca="1">IF(Q126=0,"",COUNTIF($Q$2:Q126,1))</f>
        <v>125</v>
      </c>
      <c r="S126" s="23" t="str">
        <f t="shared" ca="1" si="12"/>
        <v>MUIS</v>
      </c>
      <c r="T126" s="1"/>
      <c r="U126" s="1"/>
      <c r="V126" s="1"/>
    </row>
    <row r="127" spans="1:22">
      <c r="A127" s="1"/>
      <c r="B127" s="1"/>
      <c r="C127" s="1"/>
      <c r="D127" s="14" t="s">
        <v>230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4" t="s">
        <v>233</v>
      </c>
      <c r="Q127" s="1">
        <f t="shared" ca="1" si="11"/>
        <v>1</v>
      </c>
      <c r="R127" s="23">
        <f ca="1">IF(Q127=0,"",COUNTIF($Q$2:Q127,1))</f>
        <v>126</v>
      </c>
      <c r="S127" s="23" t="str">
        <f t="shared" ca="1" si="12"/>
        <v>EDMUNDTIE</v>
      </c>
      <c r="T127" s="1"/>
      <c r="U127" s="1"/>
      <c r="V127" s="1"/>
    </row>
    <row r="128" spans="1:22">
      <c r="A128" s="1"/>
      <c r="B128" s="1"/>
      <c r="C128" s="1"/>
      <c r="D128" s="14" t="s">
        <v>231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Q128" s="1"/>
      <c r="R128" s="1"/>
      <c r="S128" s="1"/>
      <c r="T128" s="1"/>
      <c r="U128" s="1"/>
      <c r="V128" s="1"/>
    </row>
    <row r="129" spans="1:22">
      <c r="A129" s="1"/>
      <c r="B129" s="1"/>
      <c r="C129" s="1"/>
      <c r="D129" s="14" t="s">
        <v>232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Q129" s="1"/>
      <c r="R129" s="1"/>
      <c r="S129" s="1"/>
      <c r="T129" s="1"/>
      <c r="U129" s="1"/>
      <c r="V129" s="1"/>
    </row>
    <row r="130" spans="1:22">
      <c r="A130" s="1"/>
      <c r="B130" s="1"/>
      <c r="C130" s="1"/>
      <c r="D130" s="14" t="s">
        <v>233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Q130" s="1"/>
      <c r="R130" s="1"/>
      <c r="S130" s="1"/>
      <c r="T130" s="1"/>
      <c r="U130" s="1"/>
      <c r="V130" s="1"/>
    </row>
    <row r="131" spans="1:2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</row>
    <row r="132" spans="1:2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</row>
    <row r="133" spans="1:2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</row>
    <row r="134" spans="1:2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</row>
    <row r="135" spans="1:2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</row>
    <row r="136" spans="1:2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</row>
    <row r="137" spans="1:2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</row>
    <row r="139" spans="1:2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</row>
    <row r="140" spans="1:2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</row>
    <row r="141" spans="1:2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</row>
    <row r="142" spans="1:2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</row>
    <row r="143" spans="1:2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</row>
    <row r="144" spans="1:2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</row>
    <row r="145" spans="1:2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</row>
    <row r="146" spans="1:2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</row>
    <row r="147" spans="1:2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</row>
    <row r="148" spans="1:2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</row>
    <row r="149" spans="1:2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</row>
    <row r="150" spans="1:2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</row>
    <row r="152" spans="1:2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</row>
    <row r="153" spans="1:2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</row>
    <row r="154" spans="1:2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</row>
    <row r="155" spans="1:2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</row>
    <row r="156" spans="1:2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</row>
    <row r="157" spans="1:2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</row>
    <row r="158" spans="1:2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</row>
    <row r="159" spans="1:2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</row>
    <row r="160" spans="1:2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</row>
    <row r="161" spans="1:2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</row>
    <row r="162" spans="1:2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</row>
    <row r="163" spans="1:2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</row>
    <row r="164" spans="1:2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</row>
    <row r="165" spans="1:2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</row>
    <row r="166" spans="1:2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</row>
    <row r="167" spans="1:2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</row>
    <row r="168" spans="1:2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</row>
    <row r="169" spans="1:2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2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2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2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2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2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2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2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</row>
    <row r="182" spans="1:2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</row>
    <row r="183" spans="1:2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</row>
    <row r="184" spans="1:2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</row>
    <row r="185" spans="1:2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</row>
    <row r="187" spans="1:2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</row>
    <row r="188" spans="1:2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</row>
    <row r="189" spans="1:2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</row>
    <row r="190" spans="1:2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</row>
    <row r="191" spans="1:2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</row>
    <row r="192" spans="1:2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</row>
    <row r="193" spans="1:2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</row>
    <row r="194" spans="1:2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</row>
    <row r="195" spans="1:2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</row>
    <row r="196" spans="1:2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</row>
    <row r="197" spans="1:2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</row>
    <row r="198" spans="1:2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</row>
    <row r="199" spans="1:2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</row>
    <row r="200" spans="1:2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</row>
    <row r="202" spans="1:2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</row>
    <row r="203" spans="1:2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</row>
    <row r="204" spans="1:2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</row>
    <row r="205" spans="1:2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</row>
    <row r="206" spans="1:2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</row>
    <row r="207" spans="1:2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</row>
    <row r="208" spans="1:2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</row>
    <row r="209" spans="1:2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</row>
    <row r="210" spans="1:2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</row>
    <row r="211" spans="1:2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</row>
    <row r="212" spans="1:2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</row>
    <row r="213" spans="1:2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</row>
    <row r="214" spans="1:2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</row>
    <row r="215" spans="1:2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</row>
    <row r="216" spans="1:2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</row>
    <row r="217" spans="1:2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</row>
    <row r="218" spans="1:2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</row>
    <row r="219" spans="1:2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</row>
    <row r="220" spans="1:2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</row>
    <row r="221" spans="1:2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</row>
    <row r="222" spans="1:2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</row>
    <row r="223" spans="1:2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</row>
    <row r="224" spans="1:2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</row>
    <row r="225" spans="1:2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</row>
    <row r="226" spans="1:2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</row>
    <row r="227" spans="1:2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</row>
    <row r="228" spans="1:2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</row>
    <row r="229" spans="1:2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</row>
    <row r="230" spans="1:2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</row>
    <row r="231" spans="1:2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</row>
    <row r="232" spans="1:2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</row>
    <row r="233" spans="1:2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</row>
    <row r="235" spans="1:2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</row>
    <row r="236" spans="1:2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</row>
    <row r="237" spans="1:2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</row>
    <row r="238" spans="1:2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</row>
    <row r="239" spans="1:2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</row>
    <row r="240" spans="1:2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</row>
    <row r="241" spans="1:2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</row>
    <row r="242" spans="1:2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</row>
    <row r="243" spans="1:2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</row>
    <row r="244" spans="1:2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</row>
    <row r="245" spans="1:2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</row>
    <row r="246" spans="1:2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</row>
    <row r="247" spans="1:2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</row>
    <row r="248" spans="1:2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</row>
    <row r="249" spans="1:2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</row>
    <row r="250" spans="1:2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</row>
    <row r="252" spans="1:2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</row>
    <row r="253" spans="1:2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</row>
    <row r="254" spans="1:2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</row>
    <row r="255" spans="1:2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</row>
    <row r="256" spans="1:2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</row>
    <row r="257" spans="1:2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</row>
    <row r="258" spans="1:2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</row>
    <row r="259" spans="1:2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</row>
    <row r="260" spans="1:2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</row>
    <row r="261" spans="1:2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</row>
    <row r="262" spans="1:2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</row>
    <row r="263" spans="1:2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</row>
    <row r="264" spans="1:2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</row>
    <row r="265" spans="1:2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</row>
    <row r="266" spans="1:2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</row>
    <row r="267" spans="1:2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</row>
    <row r="268" spans="1:2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</row>
    <row r="269" spans="1:2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</row>
    <row r="270" spans="1:2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</row>
    <row r="271" spans="1:2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</row>
    <row r="272" spans="1:2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</row>
    <row r="273" spans="1:2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</row>
    <row r="274" spans="1:2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</row>
    <row r="275" spans="1:2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</row>
    <row r="276" spans="1:2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</row>
    <row r="277" spans="1:2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</row>
    <row r="278" spans="1:2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</row>
    <row r="279" spans="1:2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</row>
    <row r="280" spans="1:2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</row>
    <row r="281" spans="1:2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</row>
    <row r="283" spans="1:2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</row>
    <row r="284" spans="1:2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</row>
    <row r="285" spans="1:2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</row>
    <row r="286" spans="1:2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</row>
    <row r="287" spans="1:2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</row>
    <row r="288" spans="1:2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</row>
    <row r="289" spans="1:2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</row>
    <row r="290" spans="1:2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</row>
    <row r="291" spans="1:2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</row>
    <row r="292" spans="1:2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</row>
    <row r="293" spans="1:2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</row>
    <row r="294" spans="1:2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</row>
    <row r="295" spans="1:2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</row>
    <row r="296" spans="1:2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</row>
    <row r="297" spans="1:2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</row>
    <row r="298" spans="1:2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</row>
    <row r="299" spans="1:2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</row>
    <row r="300" spans="1:2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</row>
    <row r="302" spans="1:2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</row>
    <row r="303" spans="1:2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</row>
    <row r="304" spans="1:2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</row>
    <row r="305" spans="1:2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</row>
    <row r="306" spans="1:2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</row>
    <row r="307" spans="1:2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</row>
    <row r="308" spans="1:2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</row>
    <row r="309" spans="1:2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</row>
    <row r="310" spans="1:2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</row>
    <row r="311" spans="1:2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</row>
    <row r="312" spans="1:2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</row>
    <row r="313" spans="1:2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</row>
    <row r="314" spans="1:2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</row>
    <row r="315" spans="1:2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</row>
    <row r="316" spans="1:2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</row>
    <row r="317" spans="1:2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</row>
    <row r="318" spans="1:2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</row>
    <row r="319" spans="1:2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</row>
    <row r="320" spans="1:2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</row>
    <row r="321" spans="1:2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</row>
    <row r="322" spans="1:2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</row>
    <row r="323" spans="1:2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</row>
    <row r="324" spans="1:2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</row>
    <row r="325" spans="1:2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</row>
    <row r="326" spans="1:2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</row>
    <row r="327" spans="1:2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</row>
    <row r="328" spans="1:2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</row>
    <row r="329" spans="1:2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</row>
    <row r="331" spans="1:2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</row>
    <row r="332" spans="1:2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</row>
    <row r="333" spans="1:2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</row>
    <row r="334" spans="1:2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</row>
    <row r="335" spans="1:2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</row>
    <row r="336" spans="1:2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</row>
    <row r="337" spans="1:2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</row>
    <row r="338" spans="1:2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</row>
    <row r="339" spans="1:2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</row>
    <row r="340" spans="1:2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</row>
    <row r="341" spans="1:2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</row>
    <row r="342" spans="1:2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</row>
    <row r="343" spans="1:2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</row>
    <row r="344" spans="1:2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</row>
    <row r="345" spans="1:2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</row>
    <row r="346" spans="1:2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</row>
    <row r="347" spans="1:2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</row>
    <row r="348" spans="1:2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</row>
    <row r="349" spans="1:2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</row>
    <row r="350" spans="1:2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</row>
    <row r="352" spans="1:2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</row>
    <row r="353" spans="1:2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</row>
    <row r="354" spans="1:2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</row>
    <row r="355" spans="1:2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</row>
    <row r="356" spans="1:2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</row>
    <row r="357" spans="1:2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</row>
    <row r="358" spans="1:2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</row>
    <row r="359" spans="1:2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</row>
    <row r="360" spans="1:2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</row>
    <row r="361" spans="1:2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</row>
    <row r="362" spans="1:2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</row>
    <row r="363" spans="1:2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</row>
    <row r="364" spans="1:2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</row>
    <row r="365" spans="1:2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</row>
    <row r="366" spans="1:2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</row>
    <row r="367" spans="1:2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</row>
    <row r="368" spans="1:2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</row>
    <row r="369" spans="1:2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</row>
    <row r="370" spans="1:2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</row>
    <row r="371" spans="1:2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</row>
    <row r="372" spans="1:2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</row>
    <row r="373" spans="1:2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</row>
    <row r="374" spans="1:2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</row>
    <row r="375" spans="1:2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</row>
    <row r="376" spans="1:2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</row>
    <row r="377" spans="1:2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</row>
    <row r="379" spans="1:2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</row>
    <row r="380" spans="1:2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</row>
    <row r="381" spans="1:2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</row>
    <row r="382" spans="1:2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</row>
    <row r="383" spans="1:2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</row>
    <row r="384" spans="1:2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</row>
    <row r="385" spans="1:2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</row>
    <row r="386" spans="1:2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</row>
    <row r="387" spans="1:2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</row>
    <row r="388" spans="1:2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</row>
    <row r="389" spans="1:2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</row>
    <row r="390" spans="1:2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</row>
    <row r="391" spans="1:2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</row>
    <row r="392" spans="1:2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</row>
    <row r="393" spans="1:2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</row>
    <row r="394" spans="1:2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</row>
    <row r="395" spans="1:2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</row>
    <row r="396" spans="1:2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</row>
    <row r="397" spans="1:2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</row>
    <row r="398" spans="1:2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</row>
    <row r="399" spans="1:2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</row>
    <row r="400" spans="1:2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</row>
    <row r="402" spans="1:2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</row>
    <row r="403" spans="1:2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</row>
    <row r="404" spans="1:2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</row>
    <row r="405" spans="1:2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</row>
    <row r="406" spans="1:2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</row>
    <row r="407" spans="1:2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</row>
    <row r="408" spans="1:2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</row>
    <row r="409" spans="1:2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</row>
    <row r="410" spans="1:2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</row>
    <row r="411" spans="1:2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</row>
    <row r="412" spans="1:2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</row>
    <row r="413" spans="1:2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</row>
    <row r="414" spans="1:2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</row>
    <row r="415" spans="1:2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</row>
    <row r="416" spans="1:2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</row>
    <row r="417" spans="1:2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</row>
    <row r="418" spans="1:2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</row>
    <row r="419" spans="1:2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</row>
    <row r="420" spans="1:2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</row>
    <row r="421" spans="1:2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</row>
    <row r="422" spans="1:2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</row>
    <row r="423" spans="1:2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</row>
    <row r="424" spans="1:2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</row>
    <row r="425" spans="1:2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</row>
    <row r="427" spans="1:2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</row>
    <row r="428" spans="1:2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</row>
    <row r="429" spans="1:2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</row>
    <row r="430" spans="1:2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</row>
    <row r="431" spans="1:2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</row>
    <row r="432" spans="1:2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</row>
    <row r="433" spans="1:2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</row>
    <row r="434" spans="1:2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</row>
    <row r="435" spans="1:2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</row>
    <row r="436" spans="1:2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</row>
    <row r="437" spans="1:2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</row>
    <row r="438" spans="1:2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</row>
    <row r="439" spans="1:2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</row>
    <row r="440" spans="1:2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</row>
    <row r="441" spans="1:2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</row>
    <row r="442" spans="1:2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</row>
    <row r="443" spans="1:2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</row>
    <row r="444" spans="1:2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</row>
    <row r="445" spans="1:2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</row>
    <row r="446" spans="1:2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</row>
    <row r="447" spans="1:2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</row>
    <row r="448" spans="1:2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</row>
    <row r="449" spans="1:2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</row>
    <row r="450" spans="1:2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</row>
    <row r="452" spans="1:2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</row>
    <row r="453" spans="1:2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</row>
    <row r="454" spans="1:2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</row>
    <row r="455" spans="1:2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</row>
    <row r="456" spans="1:2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</row>
    <row r="457" spans="1:2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</row>
    <row r="458" spans="1:2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</row>
    <row r="459" spans="1:2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</row>
    <row r="460" spans="1:2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</row>
    <row r="461" spans="1:2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</row>
    <row r="462" spans="1:2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</row>
    <row r="463" spans="1:2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</row>
    <row r="464" spans="1:2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</row>
    <row r="465" spans="1:2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</row>
    <row r="466" spans="1:2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</row>
    <row r="467" spans="1:2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</row>
    <row r="468" spans="1:2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</row>
    <row r="469" spans="1:2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</row>
    <row r="470" spans="1:2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</row>
    <row r="471" spans="1:2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</row>
    <row r="472" spans="1:2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</row>
    <row r="473" spans="1:2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  <row r="481" spans="1:2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</row>
    <row r="482" spans="1:2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</row>
    <row r="483" spans="1:2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</row>
    <row r="484" spans="1:2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</row>
    <row r="485" spans="1:2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</row>
    <row r="486" spans="1:2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</row>
    <row r="487" spans="1:2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</row>
    <row r="488" spans="1:2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</row>
    <row r="489" spans="1:2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</row>
    <row r="490" spans="1:2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</row>
    <row r="491" spans="1:2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</row>
    <row r="492" spans="1:2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</row>
    <row r="493" spans="1:2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</row>
    <row r="494" spans="1:2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</row>
    <row r="495" spans="1:2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</row>
    <row r="496" spans="1:2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</row>
    <row r="497" spans="1:2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</row>
    <row r="498" spans="1:2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</row>
    <row r="499" spans="1:2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</row>
    <row r="500" spans="1:2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</row>
    <row r="502" spans="1:2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</row>
    <row r="503" spans="1:2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</row>
    <row r="504" spans="1:2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</row>
    <row r="505" spans="1:2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</row>
    <row r="506" spans="1:2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</row>
    <row r="507" spans="1:2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</row>
    <row r="508" spans="1:2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</row>
    <row r="509" spans="1:2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</row>
    <row r="510" spans="1:2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</row>
    <row r="511" spans="1:2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</row>
    <row r="512" spans="1:2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</row>
    <row r="513" spans="1:2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</row>
    <row r="514" spans="1:2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</row>
    <row r="515" spans="1:2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</row>
    <row r="516" spans="1:2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</row>
    <row r="517" spans="1:2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</row>
    <row r="518" spans="1:2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</row>
    <row r="519" spans="1:2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</row>
    <row r="520" spans="1:2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</row>
    <row r="521" spans="1:2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</row>
    <row r="522" spans="1:2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</row>
    <row r="523" spans="1:2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</row>
    <row r="524" spans="1:2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</row>
    <row r="525" spans="1:2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</row>
    <row r="526" spans="1:2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</row>
    <row r="527" spans="1:2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</row>
    <row r="528" spans="1:2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</row>
    <row r="529" spans="1:2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</row>
    <row r="530" spans="1:2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</row>
    <row r="531" spans="1:2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</row>
    <row r="532" spans="1:2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</row>
    <row r="533" spans="1:2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</row>
    <row r="534" spans="1:2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</row>
    <row r="535" spans="1:2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</row>
    <row r="536" spans="1:2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</row>
    <row r="537" spans="1:2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</row>
    <row r="538" spans="1:2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</row>
    <row r="539" spans="1:2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</row>
    <row r="540" spans="1:2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</row>
    <row r="541" spans="1:2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</row>
    <row r="542" spans="1:2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</row>
    <row r="543" spans="1:2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</row>
    <row r="544" spans="1:2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</row>
    <row r="545" spans="1:2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</row>
    <row r="546" spans="1:2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</row>
    <row r="547" spans="1:2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</row>
    <row r="548" spans="1:2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</row>
    <row r="549" spans="1:2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</row>
    <row r="550" spans="1:2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</row>
    <row r="552" spans="1:2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</row>
    <row r="553" spans="1:2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</row>
    <row r="554" spans="1:2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</row>
    <row r="555" spans="1:2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</row>
    <row r="556" spans="1:2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</row>
    <row r="557" spans="1:2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</row>
    <row r="558" spans="1:2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</row>
    <row r="559" spans="1:2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</row>
    <row r="560" spans="1:2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</row>
    <row r="561" spans="1:2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</row>
    <row r="562" spans="1:2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</row>
    <row r="563" spans="1:2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</row>
    <row r="564" spans="1:2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</row>
    <row r="565" spans="1:2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</row>
    <row r="566" spans="1:2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</row>
    <row r="567" spans="1:2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</row>
    <row r="568" spans="1:2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</row>
    <row r="569" spans="1:2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</row>
    <row r="570" spans="1:2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</row>
    <row r="571" spans="1:2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</row>
    <row r="572" spans="1:2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</row>
    <row r="573" spans="1:2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</row>
    <row r="574" spans="1:2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</row>
    <row r="575" spans="1:2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</row>
    <row r="576" spans="1:2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</row>
    <row r="577" spans="1:2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</row>
    <row r="578" spans="1:2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</row>
    <row r="579" spans="1:2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</row>
    <row r="580" spans="1:2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</row>
    <row r="581" spans="1:2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</row>
    <row r="582" spans="1:2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</row>
    <row r="583" spans="1:2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</row>
    <row r="584" spans="1:2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</row>
    <row r="585" spans="1:2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</row>
    <row r="586" spans="1:2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</row>
    <row r="587" spans="1:2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</row>
    <row r="588" spans="1:2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</row>
    <row r="589" spans="1:2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</row>
    <row r="590" spans="1:2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</row>
    <row r="591" spans="1:2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</row>
    <row r="592" spans="1:2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</row>
    <row r="593" spans="1:2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</row>
    <row r="594" spans="1:2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</row>
    <row r="595" spans="1:2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</row>
    <row r="596" spans="1:2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</row>
    <row r="597" spans="1:2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</row>
    <row r="598" spans="1:2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</row>
    <row r="599" spans="1:2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</row>
    <row r="600" spans="1:2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</row>
    <row r="602" spans="1:2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</row>
    <row r="603" spans="1:2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</row>
    <row r="604" spans="1:2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</row>
    <row r="605" spans="1:2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</row>
    <row r="606" spans="1:2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</row>
    <row r="607" spans="1:2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</row>
    <row r="608" spans="1:2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</row>
    <row r="609" spans="1:2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</row>
    <row r="610" spans="1:2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</row>
    <row r="611" spans="1:2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</row>
    <row r="612" spans="1:2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</row>
    <row r="613" spans="1:2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</row>
    <row r="614" spans="1:2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</row>
    <row r="615" spans="1:2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</row>
    <row r="616" spans="1:2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</row>
    <row r="617" spans="1:2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</row>
    <row r="618" spans="1:2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</row>
    <row r="619" spans="1:2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</row>
    <row r="620" spans="1:2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</row>
    <row r="621" spans="1:2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</row>
    <row r="622" spans="1:2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</row>
    <row r="623" spans="1:2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</row>
    <row r="624" spans="1:2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</row>
    <row r="625" spans="1:2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</row>
    <row r="626" spans="1:2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</row>
    <row r="627" spans="1:2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</row>
    <row r="628" spans="1:2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</row>
    <row r="629" spans="1:2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</row>
    <row r="630" spans="1:2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</row>
    <row r="631" spans="1:2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</row>
    <row r="632" spans="1:2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</row>
    <row r="633" spans="1:2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</row>
    <row r="634" spans="1:2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</row>
    <row r="635" spans="1:2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</row>
    <row r="636" spans="1:2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</row>
    <row r="637" spans="1:2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</row>
    <row r="638" spans="1:2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</row>
    <row r="639" spans="1:2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</row>
    <row r="640" spans="1:2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</row>
    <row r="641" spans="1:2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</row>
    <row r="642" spans="1:2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</row>
    <row r="643" spans="1:2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</row>
    <row r="644" spans="1:2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</row>
    <row r="645" spans="1:2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</row>
    <row r="646" spans="1:2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</row>
    <row r="647" spans="1:2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</row>
    <row r="648" spans="1:2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</row>
    <row r="649" spans="1:2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</row>
    <row r="650" spans="1:2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</row>
    <row r="652" spans="1:2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</row>
    <row r="653" spans="1:2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</row>
    <row r="654" spans="1:2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</row>
    <row r="655" spans="1:2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</row>
    <row r="656" spans="1:2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</row>
    <row r="657" spans="1:2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</row>
    <row r="658" spans="1:2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</row>
    <row r="659" spans="1:2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</row>
    <row r="660" spans="1:2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</row>
    <row r="661" spans="1:2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</row>
    <row r="662" spans="1:2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</row>
    <row r="663" spans="1:2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</row>
    <row r="664" spans="1:2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</row>
    <row r="665" spans="1:2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</row>
    <row r="666" spans="1:2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</row>
    <row r="667" spans="1:2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</row>
    <row r="668" spans="1:2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</row>
    <row r="669" spans="1:2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</row>
    <row r="670" spans="1:2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</row>
    <row r="671" spans="1:2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</row>
    <row r="672" spans="1:2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</row>
    <row r="673" spans="1:2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</row>
    <row r="674" spans="1:2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</row>
    <row r="675" spans="1:2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</row>
    <row r="676" spans="1:2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</row>
    <row r="677" spans="1:2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</row>
    <row r="678" spans="1:2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</row>
    <row r="679" spans="1:2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</row>
    <row r="680" spans="1:2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</row>
    <row r="681" spans="1:2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</row>
    <row r="682" spans="1:2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</row>
    <row r="683" spans="1:2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</row>
    <row r="684" spans="1:2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</row>
    <row r="685" spans="1:2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</row>
    <row r="686" spans="1:2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</row>
    <row r="687" spans="1:2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</row>
    <row r="688" spans="1:2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</row>
    <row r="689" spans="1:2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</row>
    <row r="690" spans="1:2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</row>
    <row r="691" spans="1:2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</row>
    <row r="692" spans="1:2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</row>
    <row r="693" spans="1:2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</row>
    <row r="694" spans="1:2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</row>
    <row r="695" spans="1:2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</row>
    <row r="696" spans="1:2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</row>
    <row r="697" spans="1:2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</row>
    <row r="698" spans="1:2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</row>
    <row r="699" spans="1:2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</row>
    <row r="700" spans="1:2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</row>
    <row r="702" spans="1:2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</row>
    <row r="703" spans="1:2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</row>
    <row r="704" spans="1:2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</row>
    <row r="705" spans="1:2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</row>
    <row r="706" spans="1:2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</row>
    <row r="707" spans="1:2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</row>
    <row r="708" spans="1:2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</row>
    <row r="709" spans="1:2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</row>
    <row r="710" spans="1:2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</row>
    <row r="711" spans="1:2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</row>
    <row r="712" spans="1:2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</row>
    <row r="713" spans="1:2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</row>
    <row r="714" spans="1:2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</row>
    <row r="715" spans="1:2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</row>
    <row r="716" spans="1:2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</row>
    <row r="717" spans="1:2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</row>
    <row r="718" spans="1:2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</row>
    <row r="719" spans="1:2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</row>
    <row r="720" spans="1:2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</row>
    <row r="721" spans="1:2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</row>
    <row r="722" spans="1:2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</row>
    <row r="723" spans="1:2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</row>
    <row r="724" spans="1:2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</row>
    <row r="725" spans="1:2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</row>
    <row r="726" spans="1:2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</row>
    <row r="727" spans="1:2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</row>
    <row r="728" spans="1:2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</row>
    <row r="729" spans="1:2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</row>
    <row r="730" spans="1:2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</row>
    <row r="731" spans="1:2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</row>
    <row r="732" spans="1:2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</row>
    <row r="733" spans="1:2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</row>
    <row r="734" spans="1:2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</row>
    <row r="735" spans="1:2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</row>
    <row r="736" spans="1:2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</row>
    <row r="737" spans="1:2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</row>
    <row r="738" spans="1:2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</row>
    <row r="739" spans="1:2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</row>
    <row r="740" spans="1:2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</row>
    <row r="741" spans="1:2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</row>
    <row r="742" spans="1:2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</row>
    <row r="743" spans="1:2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</row>
    <row r="744" spans="1:2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</row>
    <row r="745" spans="1:2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</row>
    <row r="746" spans="1:2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</row>
    <row r="747" spans="1:2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</row>
    <row r="748" spans="1:2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</row>
    <row r="749" spans="1:2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</row>
    <row r="750" spans="1:2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</row>
    <row r="752" spans="1:2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</row>
    <row r="753" spans="1:2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</row>
    <row r="754" spans="1:2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</row>
    <row r="755" spans="1:2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</row>
    <row r="756" spans="1:2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</row>
    <row r="757" spans="1:2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</row>
    <row r="758" spans="1:2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</row>
    <row r="759" spans="1:2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</row>
    <row r="760" spans="1:2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</row>
    <row r="761" spans="1:2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</row>
    <row r="762" spans="1:2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</row>
    <row r="763" spans="1:2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</row>
    <row r="764" spans="1:2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</row>
    <row r="765" spans="1:2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</row>
    <row r="766" spans="1:2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</row>
    <row r="767" spans="1:2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</row>
    <row r="768" spans="1:2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</row>
    <row r="769" spans="1:2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</row>
    <row r="770" spans="1:2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</row>
    <row r="771" spans="1:2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</row>
    <row r="772" spans="1:2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</row>
    <row r="773" spans="1:2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</row>
    <row r="774" spans="1:2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</row>
    <row r="775" spans="1:2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</row>
    <row r="776" spans="1:2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</row>
    <row r="777" spans="1:2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</row>
    <row r="778" spans="1:2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</row>
    <row r="779" spans="1:2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</row>
    <row r="780" spans="1:2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</row>
    <row r="781" spans="1:2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</row>
    <row r="782" spans="1:2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</row>
    <row r="783" spans="1:2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</row>
    <row r="784" spans="1:2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</row>
    <row r="785" spans="1:2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</row>
    <row r="786" spans="1:2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</row>
    <row r="787" spans="1:2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</row>
    <row r="788" spans="1:2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</row>
    <row r="789" spans="1:2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</row>
    <row r="790" spans="1:2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</row>
    <row r="791" spans="1:2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</row>
    <row r="792" spans="1:2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</row>
    <row r="793" spans="1:2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</row>
    <row r="794" spans="1:2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</row>
    <row r="795" spans="1:2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</row>
    <row r="796" spans="1:2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</row>
    <row r="797" spans="1:2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</row>
    <row r="798" spans="1:2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</row>
    <row r="799" spans="1:2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</row>
    <row r="800" spans="1:2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</row>
    <row r="802" spans="1:2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</row>
    <row r="803" spans="1:2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</row>
    <row r="804" spans="1:2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</row>
    <row r="805" spans="1:2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</row>
    <row r="806" spans="1:2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</row>
    <row r="807" spans="1:2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</row>
    <row r="808" spans="1:2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</row>
    <row r="809" spans="1:2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</row>
    <row r="810" spans="1:2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</row>
    <row r="811" spans="1:2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</row>
    <row r="812" spans="1:2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</row>
    <row r="813" spans="1:2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</row>
    <row r="814" spans="1:2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</row>
    <row r="815" spans="1:2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</row>
    <row r="816" spans="1:2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</row>
    <row r="817" spans="1:2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</row>
    <row r="818" spans="1:2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</row>
    <row r="819" spans="1:2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</row>
    <row r="820" spans="1:2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</row>
    <row r="821" spans="1:2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</row>
    <row r="822" spans="1:2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</row>
    <row r="823" spans="1:2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</row>
    <row r="824" spans="1:2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</row>
    <row r="825" spans="1:2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</row>
    <row r="826" spans="1:2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</row>
    <row r="827" spans="1:2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</row>
    <row r="828" spans="1:2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</row>
    <row r="829" spans="1:2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</row>
    <row r="830" spans="1:2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</row>
    <row r="831" spans="1:2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</row>
    <row r="832" spans="1:2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</row>
    <row r="833" spans="1:2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</row>
    <row r="834" spans="1:2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</row>
    <row r="835" spans="1:2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</row>
    <row r="836" spans="1:2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</row>
    <row r="837" spans="1:2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</row>
    <row r="838" spans="1:2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</row>
    <row r="839" spans="1:2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</row>
    <row r="840" spans="1:2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</row>
    <row r="841" spans="1:2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</row>
    <row r="842" spans="1:2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</row>
    <row r="843" spans="1:2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</row>
    <row r="844" spans="1:2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</row>
    <row r="845" spans="1:2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</row>
    <row r="846" spans="1:2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</row>
    <row r="847" spans="1:2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</row>
    <row r="848" spans="1:2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</row>
    <row r="849" spans="1:2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</row>
    <row r="850" spans="1:2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</row>
    <row r="852" spans="1:2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</row>
    <row r="853" spans="1:2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</row>
    <row r="854" spans="1:2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</row>
    <row r="855" spans="1:2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</row>
    <row r="856" spans="1:2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</row>
    <row r="857" spans="1:2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</row>
    <row r="858" spans="1:2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</row>
    <row r="859" spans="1:2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</row>
    <row r="860" spans="1:2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</row>
    <row r="861" spans="1:2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</row>
    <row r="862" spans="1:2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</row>
    <row r="863" spans="1:2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</row>
    <row r="864" spans="1:2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</row>
    <row r="865" spans="1:2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</row>
    <row r="866" spans="1:2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</row>
    <row r="867" spans="1:2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</row>
    <row r="868" spans="1:2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</row>
    <row r="869" spans="1:2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</row>
    <row r="870" spans="1:2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</row>
    <row r="871" spans="1:2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</row>
    <row r="872" spans="1:2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</row>
    <row r="873" spans="1:2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</row>
    <row r="874" spans="1:2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</row>
    <row r="875" spans="1:2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</row>
    <row r="876" spans="1:2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</row>
    <row r="877" spans="1:2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</row>
    <row r="878" spans="1:2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</row>
    <row r="879" spans="1:2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</row>
    <row r="880" spans="1:2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</row>
    <row r="881" spans="1:2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</row>
    <row r="882" spans="1:2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</row>
    <row r="883" spans="1:2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</row>
    <row r="884" spans="1:2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</row>
    <row r="885" spans="1:2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</row>
    <row r="886" spans="1:2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</row>
    <row r="887" spans="1:2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</row>
    <row r="888" spans="1:2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</row>
    <row r="889" spans="1:2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</row>
    <row r="890" spans="1:2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</row>
    <row r="891" spans="1:2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</row>
    <row r="892" spans="1:2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</row>
    <row r="893" spans="1:2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</row>
    <row r="894" spans="1:2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</row>
    <row r="895" spans="1:2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</row>
    <row r="896" spans="1:2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</row>
    <row r="897" spans="1:2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</row>
    <row r="898" spans="1:2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</row>
    <row r="899" spans="1:2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</row>
    <row r="900" spans="1:2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</row>
    <row r="902" spans="1:2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</row>
    <row r="903" spans="1:2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</row>
    <row r="904" spans="1:2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</row>
    <row r="905" spans="1:2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</row>
    <row r="906" spans="1:2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</row>
    <row r="907" spans="1:2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</row>
    <row r="908" spans="1:2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</row>
    <row r="909" spans="1:2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</row>
    <row r="910" spans="1:2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</row>
    <row r="911" spans="1:2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</row>
    <row r="912" spans="1:2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</row>
    <row r="913" spans="1:2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</row>
    <row r="914" spans="1:2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</row>
    <row r="915" spans="1:2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</row>
    <row r="916" spans="1:2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</row>
    <row r="917" spans="1:2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</row>
    <row r="918" spans="1:2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</row>
    <row r="919" spans="1:2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</row>
    <row r="920" spans="1:2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</row>
    <row r="921" spans="1:2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</row>
    <row r="922" spans="1:2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</row>
    <row r="923" spans="1:2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</row>
    <row r="924" spans="1:2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</row>
    <row r="925" spans="1:2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</row>
    <row r="926" spans="1:2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</row>
    <row r="927" spans="1:2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</row>
    <row r="928" spans="1:2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</row>
    <row r="929" spans="1:2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</row>
    <row r="930" spans="1:2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</row>
    <row r="931" spans="1:2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</row>
    <row r="932" spans="1:2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</row>
    <row r="933" spans="1:2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</row>
    <row r="934" spans="1:2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</row>
    <row r="935" spans="1:2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</row>
    <row r="936" spans="1:2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</row>
    <row r="937" spans="1:2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</row>
    <row r="938" spans="1:2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</row>
    <row r="939" spans="1:2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</row>
    <row r="940" spans="1:2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</row>
    <row r="941" spans="1:2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</row>
    <row r="942" spans="1:2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</row>
    <row r="943" spans="1:2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</row>
    <row r="944" spans="1:2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</row>
    <row r="945" spans="1:2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</row>
    <row r="946" spans="1:2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</row>
    <row r="947" spans="1:2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</row>
    <row r="948" spans="1:2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</row>
    <row r="949" spans="1:2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</row>
    <row r="950" spans="1:2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</row>
    <row r="952" spans="1:2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</row>
    <row r="953" spans="1:2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</row>
    <row r="954" spans="1:2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</row>
    <row r="955" spans="1:2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</row>
    <row r="956" spans="1:2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</row>
    <row r="957" spans="1:2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</row>
    <row r="958" spans="1:2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</row>
    <row r="959" spans="1:2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</row>
    <row r="960" spans="1:2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</row>
    <row r="961" spans="1:2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</row>
    <row r="962" spans="1:2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</row>
    <row r="963" spans="1:2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</row>
    <row r="964" spans="1:2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</row>
    <row r="965" spans="1:2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</row>
    <row r="966" spans="1:2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</row>
    <row r="967" spans="1:2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</row>
    <row r="968" spans="1:2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</row>
    <row r="969" spans="1:2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</row>
    <row r="970" spans="1:2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</row>
    <row r="971" spans="1:2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</row>
    <row r="972" spans="1:2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</row>
    <row r="973" spans="1:2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</row>
    <row r="974" spans="1:2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</row>
    <row r="975" spans="1:2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</row>
    <row r="976" spans="1:2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</row>
    <row r="977" spans="1:2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</row>
    <row r="978" spans="1:2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</row>
    <row r="979" spans="1:2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</row>
    <row r="980" spans="1:2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</row>
    <row r="981" spans="1:2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</row>
    <row r="982" spans="1:2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</row>
    <row r="983" spans="1:2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</row>
    <row r="984" spans="1:2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</row>
    <row r="985" spans="1:2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</row>
    <row r="986" spans="1:2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</row>
    <row r="987" spans="1:2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</row>
    <row r="988" spans="1:2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</row>
    <row r="989" spans="1:2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</row>
    <row r="990" spans="1:2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</row>
    <row r="991" spans="1:2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</row>
    <row r="992" spans="1:2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</row>
    <row r="993" spans="1:2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</row>
    <row r="994" spans="1:2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</row>
    <row r="995" spans="1:2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</row>
    <row r="996" spans="1:2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</row>
    <row r="997" spans="1:22">
      <c r="A997" s="1"/>
      <c r="B997" s="1"/>
      <c r="C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</row>
    <row r="998" spans="1:22">
      <c r="A998" s="1"/>
      <c r="B998" s="1"/>
      <c r="C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</row>
    <row r="999" spans="1:22">
      <c r="A999" s="1"/>
      <c r="B999" s="1"/>
      <c r="C999" s="1"/>
      <c r="E999" s="1"/>
      <c r="F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</row>
    <row r="1000" spans="1:22">
      <c r="A1000" s="1"/>
      <c r="B1000" s="1"/>
      <c r="C1000" s="1"/>
      <c r="E1000" s="1"/>
      <c r="F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5.75" customHeight="1">
      <c r="P1001" s="1"/>
      <c r="Q1001" s="1"/>
      <c r="R1001" s="1"/>
      <c r="S1001" s="1"/>
      <c r="V1001" s="1"/>
    </row>
    <row r="1002" spans="1:22" ht="15.75" customHeight="1">
      <c r="P1002" s="1"/>
      <c r="Q1002" s="1"/>
      <c r="R1002" s="1"/>
      <c r="S1002" s="1"/>
      <c r="V1002" s="1"/>
    </row>
    <row r="1003" spans="1:22" ht="15.75" customHeight="1">
      <c r="P1003" s="1"/>
      <c r="Q1003" s="1"/>
      <c r="R1003" s="1"/>
      <c r="S1003" s="1"/>
      <c r="V1003" s="1"/>
    </row>
    <row r="1004" spans="1:22" ht="15.75" customHeight="1">
      <c r="P1004" s="1"/>
      <c r="Q1004" s="1"/>
      <c r="R1004" s="1"/>
      <c r="S1004" s="1"/>
      <c r="V1004" s="1"/>
    </row>
    <row r="1005" spans="1:22" ht="15.75" customHeight="1">
      <c r="P1005" s="1"/>
      <c r="Q1005" s="1"/>
      <c r="R1005" s="1"/>
      <c r="S1005" s="1"/>
      <c r="V1005" s="1"/>
    </row>
    <row r="1006" spans="1:22" ht="15.75" customHeight="1">
      <c r="P1006" s="1"/>
      <c r="Q1006" s="1"/>
      <c r="R1006" s="1"/>
      <c r="S1006" s="1"/>
      <c r="V1006" s="1"/>
    </row>
    <row r="1007" spans="1:22" ht="15.75" customHeight="1">
      <c r="P1007" s="1"/>
      <c r="Q1007" s="1"/>
      <c r="R1007" s="1"/>
      <c r="S1007" s="1"/>
      <c r="V1007" s="1"/>
    </row>
    <row r="1008" spans="1:22" ht="15.75" customHeight="1">
      <c r="P1008" s="1"/>
      <c r="Q1008" s="1"/>
      <c r="R1008" s="1"/>
      <c r="S1008" s="1"/>
      <c r="V1008" s="1"/>
    </row>
    <row r="1009" spans="16:22" ht="15.75" customHeight="1">
      <c r="P1009" s="1"/>
      <c r="Q1009" s="1"/>
      <c r="R1009" s="1"/>
      <c r="S1009" s="1"/>
      <c r="V1009" s="1"/>
    </row>
    <row r="1010" spans="16:22" ht="15.75" customHeight="1">
      <c r="P1010" s="1"/>
      <c r="Q1010" s="1"/>
      <c r="R1010" s="1"/>
      <c r="S1010" s="1"/>
      <c r="V1010" s="1"/>
    </row>
    <row r="1011" spans="16:22" ht="15.75" customHeight="1">
      <c r="P1011" s="1"/>
      <c r="Q1011" s="1"/>
      <c r="R1011" s="1"/>
      <c r="S1011" s="1"/>
      <c r="V1011" s="1"/>
    </row>
    <row r="1012" spans="16:22" ht="15.75" customHeight="1">
      <c r="P1012" s="1"/>
      <c r="Q1012" s="1"/>
      <c r="R1012" s="1"/>
      <c r="S1012" s="1"/>
      <c r="V1012" s="1"/>
    </row>
    <row r="1013" spans="16:22" ht="15.75" customHeight="1">
      <c r="P1013" s="1"/>
      <c r="Q1013" s="1"/>
      <c r="R1013" s="1"/>
      <c r="S1013" s="1"/>
      <c r="V1013" s="1"/>
    </row>
    <row r="1014" spans="16:22" ht="15.75" customHeight="1">
      <c r="P1014" s="1"/>
      <c r="Q1014" s="1"/>
      <c r="R1014" s="1"/>
      <c r="S1014" s="1"/>
      <c r="V1014" s="1"/>
    </row>
    <row r="1015" spans="16:22" ht="15.75" customHeight="1">
      <c r="P1015" s="1"/>
      <c r="Q1015" s="1"/>
      <c r="R1015" s="1"/>
      <c r="S1015" s="1"/>
      <c r="V1015" s="1"/>
    </row>
    <row r="1016" spans="16:22" ht="15.75" customHeight="1">
      <c r="V1016" s="1"/>
    </row>
    <row r="1017" spans="16:22" ht="15.75" customHeight="1">
      <c r="V1017" s="1"/>
    </row>
    <row r="1018" spans="16:22" ht="15.75" customHeight="1">
      <c r="V1018" s="1"/>
    </row>
    <row r="1019" spans="16:22" ht="15.75" customHeight="1">
      <c r="V1019" s="1"/>
    </row>
    <row r="1020" spans="16:22" ht="15.75" customHeight="1">
      <c r="V1020" s="1"/>
    </row>
    <row r="1021" spans="16:22" ht="15.75" customHeight="1">
      <c r="V1021" s="1"/>
    </row>
    <row r="1022" spans="16:22" ht="15.75" customHeight="1">
      <c r="V1022" s="1"/>
    </row>
    <row r="1023" spans="16:22" ht="15.75" customHeight="1">
      <c r="V1023" s="1"/>
    </row>
    <row r="1024" spans="16:22" ht="15.75" customHeight="1">
      <c r="V1024" s="1"/>
    </row>
    <row r="1025" spans="22:22" ht="15.75" customHeight="1">
      <c r="V1025" s="1"/>
    </row>
    <row r="1026" spans="22:22" ht="15.75" customHeight="1">
      <c r="V1026" s="1"/>
    </row>
    <row r="1027" spans="22:22" ht="15.75" customHeight="1">
      <c r="V1027" s="1"/>
    </row>
    <row r="1028" spans="22:22" ht="15.75" customHeight="1">
      <c r="V1028" s="1"/>
    </row>
    <row r="1029" spans="22:22" ht="15.75" customHeight="1">
      <c r="V1029" s="1"/>
    </row>
    <row r="1030" spans="22:22" ht="15.75" customHeight="1">
      <c r="V1030" s="1"/>
    </row>
    <row r="1031" spans="22:22" ht="15.75" customHeight="1">
      <c r="V1031" s="1"/>
    </row>
    <row r="1032" spans="22:22" ht="15.75" customHeight="1">
      <c r="V1032" s="1"/>
    </row>
    <row r="1033" spans="22:22" ht="15.75" customHeight="1">
      <c r="V1033" s="1"/>
    </row>
    <row r="1034" spans="22:22" ht="15.75" customHeight="1">
      <c r="V1034" s="1"/>
    </row>
    <row r="1035" spans="22:22" ht="15.75" customHeight="1">
      <c r="V1035" s="1"/>
    </row>
    <row r="1036" spans="22:22" ht="15.75" customHeight="1">
      <c r="V1036" s="1"/>
    </row>
    <row r="1037" spans="22:22" ht="15.75" customHeight="1">
      <c r="V1037" s="1"/>
    </row>
    <row r="1038" spans="22:22" ht="15.75" customHeight="1">
      <c r="V1038" s="1"/>
    </row>
    <row r="1039" spans="22:22" ht="15.75" customHeight="1">
      <c r="V1039" s="1"/>
    </row>
    <row r="1040" spans="22:22" ht="15.75" customHeight="1">
      <c r="V1040" s="1"/>
    </row>
    <row r="1041" spans="22:22" ht="15.75" customHeight="1">
      <c r="V1041" s="1"/>
    </row>
    <row r="1042" spans="22:22" ht="15.75" customHeight="1">
      <c r="V1042" s="1"/>
    </row>
    <row r="1043" spans="22:22" ht="15.75" customHeight="1">
      <c r="V1043" s="1"/>
    </row>
  </sheetData>
  <conditionalFormatting sqref="D5:D130">
    <cfRule type="duplicateValues" dxfId="46" priority="46"/>
  </conditionalFormatting>
  <conditionalFormatting sqref="D5:D130">
    <cfRule type="duplicateValues" dxfId="45" priority="45"/>
  </conditionalFormatting>
  <conditionalFormatting sqref="P2:P127">
    <cfRule type="duplicateValues" dxfId="44" priority="44"/>
  </conditionalFormatting>
  <conditionalFormatting sqref="P2:P127">
    <cfRule type="duplicateValues" dxfId="43" priority="43"/>
  </conditionalFormatting>
  <conditionalFormatting sqref="G5:G69">
    <cfRule type="duplicateValues" dxfId="42" priority="42"/>
  </conditionalFormatting>
  <conditionalFormatting sqref="G27">
    <cfRule type="duplicateValues" dxfId="41" priority="41"/>
  </conditionalFormatting>
  <conditionalFormatting sqref="G27">
    <cfRule type="duplicateValues" dxfId="40" priority="40"/>
  </conditionalFormatting>
  <conditionalFormatting sqref="G28">
    <cfRule type="duplicateValues" dxfId="39" priority="39"/>
  </conditionalFormatting>
  <conditionalFormatting sqref="G28">
    <cfRule type="duplicateValues" dxfId="38" priority="38"/>
  </conditionalFormatting>
  <conditionalFormatting sqref="G29:G30">
    <cfRule type="duplicateValues" dxfId="37" priority="37"/>
  </conditionalFormatting>
  <conditionalFormatting sqref="G29:G30">
    <cfRule type="duplicateValues" dxfId="36" priority="36"/>
  </conditionalFormatting>
  <conditionalFormatting sqref="G31">
    <cfRule type="duplicateValues" dxfId="35" priority="35"/>
  </conditionalFormatting>
  <conditionalFormatting sqref="G31">
    <cfRule type="duplicateValues" dxfId="34" priority="34"/>
  </conditionalFormatting>
  <conditionalFormatting sqref="G32:G36">
    <cfRule type="duplicateValues" dxfId="33" priority="33"/>
  </conditionalFormatting>
  <conditionalFormatting sqref="G32:G36">
    <cfRule type="duplicateValues" dxfId="32" priority="32"/>
  </conditionalFormatting>
  <conditionalFormatting sqref="G37:G42">
    <cfRule type="duplicateValues" dxfId="31" priority="31"/>
  </conditionalFormatting>
  <conditionalFormatting sqref="G37:G42">
    <cfRule type="duplicateValues" dxfId="30" priority="30"/>
  </conditionalFormatting>
  <conditionalFormatting sqref="G43:G53">
    <cfRule type="duplicateValues" dxfId="29" priority="29"/>
  </conditionalFormatting>
  <conditionalFormatting sqref="G43:G53">
    <cfRule type="duplicateValues" dxfId="28" priority="28"/>
  </conditionalFormatting>
  <conditionalFormatting sqref="G54:G63">
    <cfRule type="duplicateValues" dxfId="27" priority="27"/>
  </conditionalFormatting>
  <conditionalFormatting sqref="G54:G63">
    <cfRule type="duplicateValues" dxfId="26" priority="26"/>
  </conditionalFormatting>
  <conditionalFormatting sqref="G64">
    <cfRule type="duplicateValues" dxfId="25" priority="25"/>
  </conditionalFormatting>
  <conditionalFormatting sqref="G64">
    <cfRule type="duplicateValues" dxfId="24" priority="24"/>
  </conditionalFormatting>
  <conditionalFormatting sqref="G65:G69">
    <cfRule type="duplicateValues" dxfId="23" priority="23"/>
  </conditionalFormatting>
  <conditionalFormatting sqref="G65:G69">
    <cfRule type="duplicateValues" dxfId="22" priority="22"/>
  </conditionalFormatting>
  <conditionalFormatting sqref="V2:V66">
    <cfRule type="duplicateValues" dxfId="21" priority="21"/>
  </conditionalFormatting>
  <conditionalFormatting sqref="V24">
    <cfRule type="duplicateValues" dxfId="20" priority="20"/>
  </conditionalFormatting>
  <conditionalFormatting sqref="V24">
    <cfRule type="duplicateValues" dxfId="19" priority="19"/>
  </conditionalFormatting>
  <conditionalFormatting sqref="V25">
    <cfRule type="duplicateValues" dxfId="18" priority="18"/>
  </conditionalFormatting>
  <conditionalFormatting sqref="V25">
    <cfRule type="duplicateValues" dxfId="17" priority="17"/>
  </conditionalFormatting>
  <conditionalFormatting sqref="V26:V27">
    <cfRule type="duplicateValues" dxfId="16" priority="16"/>
  </conditionalFormatting>
  <conditionalFormatting sqref="V26:V27">
    <cfRule type="duplicateValues" dxfId="15" priority="15"/>
  </conditionalFormatting>
  <conditionalFormatting sqref="V28">
    <cfRule type="duplicateValues" dxfId="14" priority="14"/>
  </conditionalFormatting>
  <conditionalFormatting sqref="V28">
    <cfRule type="duplicateValues" dxfId="13" priority="13"/>
  </conditionalFormatting>
  <conditionalFormatting sqref="V29:V33">
    <cfRule type="duplicateValues" dxfId="12" priority="12"/>
  </conditionalFormatting>
  <conditionalFormatting sqref="V29:V33">
    <cfRule type="duplicateValues" dxfId="11" priority="11"/>
  </conditionalFormatting>
  <conditionalFormatting sqref="V34:V39">
    <cfRule type="duplicateValues" dxfId="10" priority="10"/>
  </conditionalFormatting>
  <conditionalFormatting sqref="V34:V39">
    <cfRule type="duplicateValues" dxfId="9" priority="9"/>
  </conditionalFormatting>
  <conditionalFormatting sqref="V40:V50">
    <cfRule type="duplicateValues" dxfId="8" priority="8"/>
  </conditionalFormatting>
  <conditionalFormatting sqref="V40:V50">
    <cfRule type="duplicateValues" dxfId="7" priority="7"/>
  </conditionalFormatting>
  <conditionalFormatting sqref="V51:V60">
    <cfRule type="duplicateValues" dxfId="6" priority="6"/>
  </conditionalFormatting>
  <conditionalFormatting sqref="V51:V60">
    <cfRule type="duplicateValues" dxfId="5" priority="5"/>
  </conditionalFormatting>
  <conditionalFormatting sqref="V61">
    <cfRule type="duplicateValues" dxfId="4" priority="4"/>
  </conditionalFormatting>
  <conditionalFormatting sqref="V61">
    <cfRule type="duplicateValues" dxfId="3" priority="3"/>
  </conditionalFormatting>
  <conditionalFormatting sqref="V62:V66">
    <cfRule type="duplicateValues" dxfId="2" priority="2"/>
  </conditionalFormatting>
  <conditionalFormatting sqref="V62:V66">
    <cfRule type="duplicateValues" dxfId="1" priority="1"/>
  </conditionalFormatting>
  <dataValidations count="11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  <dataValidation type="list" allowBlank="1" showInputMessage="1" showErrorMessage="1" sqref="L4:L7" xr:uid="{00000000-0002-0000-0100-00000A000000}">
      <formula1>$L$5:$L$7</formula1>
    </dataValidation>
  </dataValidations>
  <pageMargins left="0" right="0" top="0" bottom="0" header="0" footer="0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PV-Cheque</vt:lpstr>
      <vt:lpstr>Details</vt:lpstr>
      <vt:lpstr>Bank_Code_list</vt:lpstr>
      <vt:lpstr>bankname_list</vt:lpstr>
      <vt:lpstr>expense_category_list</vt:lpstr>
      <vt:lpstr>Facility_list</vt:lpstr>
      <vt:lpstr>Payment_list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2022-04-05T16:54:02Z</dcterms:created>
  <dcterms:modified xsi:type="dcterms:W3CDTF">2023-06-04T15:50:35Z</dcterms:modified>
  <cp:category/>
  <cp:contentStatus/>
</cp:coreProperties>
</file>
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Claims_BB\eclaim\EClaimsWeb\wwwroot\ExcelTemplates\"/>
    </mc:Choice>
  </mc:AlternateContent>
  <xr:revisionPtr revIDLastSave="0" documentId="13_ncr:1_{1FD848B6-2A2D-4304-B448-5E034DCD62EC}" xr6:coauthVersionLast="36" xr6:coauthVersionMax="36" xr10:uidLastSave="{00000000-0000-0000-0000-000000000000}"/>
  <bookViews>
    <workbookView xWindow="0" yWindow="0" windowWidth="20490" windowHeight="8940" xr2:uid="{00000000-000D-0000-FFFF-FFFF00000000}"/>
  </bookViews>
  <sheets>
    <sheet name="Telephone Bill" sheetId="4" r:id="rId1"/>
    <sheet name="Details" sheetId="2" state="hidden" r:id="rId2"/>
  </sheets>
  <definedNames>
    <definedName name="expense_cat_list">Table2[Expense Category for Expense, PV Claims]</definedName>
    <definedName name="expense_cat_pic">OFFSET(Details!$Y$2,,,COUNTIF(Details!$Y:$Y,"?*"))</definedName>
    <definedName name="facility_list">Table1[Facility Name]</definedName>
    <definedName name="facility_pic">OFFSET(Details!$S$2,,,COUNTIF(Details!$S:$S,"?*"))</definedName>
  </definedNames>
  <calcPr calcId="191029"/>
</workbook>
</file>

<file path=xl/calcChain.xml><?xml version="1.0" encoding="utf-8"?>
<calcChain xmlns="http://schemas.openxmlformats.org/spreadsheetml/2006/main">
  <c r="W4" i="2" l="1"/>
  <c r="X4" i="2" l="1"/>
  <c r="W9" i="2"/>
  <c r="X9" i="2"/>
  <c r="W3" i="2"/>
  <c r="X3" i="2"/>
  <c r="W15" i="2"/>
  <c r="X15" i="2"/>
  <c r="W11" i="2"/>
  <c r="X11" i="2"/>
  <c r="W10" i="2"/>
  <c r="X10" i="2"/>
  <c r="W14" i="2"/>
  <c r="X14" i="2"/>
  <c r="W19" i="2"/>
  <c r="X19" i="2"/>
  <c r="W6" i="2"/>
  <c r="X6" i="2"/>
  <c r="W20" i="2"/>
  <c r="X20" i="2"/>
  <c r="W12" i="2"/>
  <c r="X12" i="2"/>
  <c r="W21" i="2"/>
  <c r="X21" i="2"/>
  <c r="W16" i="2"/>
  <c r="X16" i="2"/>
  <c r="W8" i="2"/>
  <c r="X8" i="2"/>
  <c r="W5" i="2"/>
  <c r="X5" i="2"/>
  <c r="W18" i="2"/>
  <c r="X18" i="2"/>
  <c r="W17" i="2"/>
  <c r="X17" i="2"/>
  <c r="W22" i="2"/>
  <c r="X22" i="2"/>
  <c r="W7" i="2"/>
  <c r="X7" i="2"/>
  <c r="W13" i="2"/>
  <c r="X13" i="2"/>
  <c r="W23" i="2"/>
  <c r="X23" i="2"/>
  <c r="W2" i="2"/>
  <c r="X2" i="2"/>
  <c r="Y7" i="2" l="1"/>
  <c r="Y3" i="2"/>
  <c r="Y2" i="2"/>
  <c r="Y20" i="2"/>
  <c r="Y22" i="2"/>
  <c r="Y18" i="2"/>
  <c r="Y12" i="2"/>
  <c r="Y23" i="2"/>
  <c r="Y10" i="2"/>
  <c r="Y16" i="2"/>
  <c r="Y21" i="2"/>
  <c r="Y15" i="2"/>
  <c r="Y13" i="2"/>
  <c r="Y14" i="2"/>
  <c r="Y4" i="2"/>
  <c r="Y17" i="2"/>
  <c r="Y6" i="2"/>
  <c r="Y11" i="2"/>
  <c r="Y5" i="2"/>
  <c r="Y9" i="2"/>
  <c r="Y19" i="2"/>
  <c r="Y8" i="2"/>
  <c r="Q5" i="2" l="1"/>
  <c r="Q125" i="2" l="1"/>
  <c r="Q22" i="2"/>
  <c r="Q44" i="2"/>
  <c r="Q103" i="2"/>
  <c r="Q112" i="2"/>
  <c r="Q33" i="2"/>
  <c r="Q119" i="2"/>
  <c r="Q10" i="2"/>
  <c r="Q122" i="2"/>
  <c r="Q37" i="2"/>
  <c r="Q12" i="2"/>
  <c r="Q101" i="2"/>
  <c r="Q91" i="2"/>
  <c r="Q76" i="2"/>
  <c r="Q28" i="2"/>
  <c r="Q25" i="2"/>
  <c r="Q20" i="2"/>
  <c r="Q47" i="2"/>
  <c r="Q43" i="2"/>
  <c r="Q94" i="2"/>
  <c r="Q17" i="2"/>
  <c r="Q66" i="2"/>
  <c r="Q7" i="2"/>
  <c r="Q87" i="2"/>
  <c r="Q32" i="2"/>
  <c r="Q121" i="2"/>
  <c r="Q21" i="2"/>
  <c r="Q72" i="2"/>
  <c r="Q73" i="2"/>
  <c r="Q4" i="2"/>
  <c r="Q75" i="2"/>
  <c r="Q23" i="2"/>
  <c r="Q109" i="2"/>
  <c r="Q64" i="2"/>
  <c r="Q126" i="2"/>
  <c r="Q54" i="2"/>
  <c r="Q26" i="2"/>
  <c r="Q116" i="2"/>
  <c r="Q36" i="2"/>
  <c r="Q35" i="2"/>
  <c r="Q39" i="2"/>
  <c r="Q104" i="2"/>
  <c r="Q49" i="2"/>
  <c r="Q97" i="2"/>
  <c r="Q108" i="2"/>
  <c r="Q41" i="2"/>
  <c r="Q13" i="2"/>
  <c r="Q98" i="2"/>
  <c r="Q45" i="2"/>
  <c r="Q71" i="2"/>
  <c r="Q53" i="2"/>
  <c r="Q123" i="2"/>
  <c r="Q81" i="2"/>
  <c r="Q15" i="2"/>
  <c r="Q3" i="2"/>
  <c r="Q67" i="2"/>
  <c r="Q82" i="2"/>
  <c r="Q120" i="2"/>
  <c r="Q31" i="2"/>
  <c r="Q65" i="2"/>
  <c r="Q42" i="2"/>
  <c r="Q124" i="2"/>
  <c r="Q111" i="2"/>
  <c r="Q77" i="2"/>
  <c r="Q102" i="2"/>
  <c r="Q50" i="2"/>
  <c r="Q85" i="2"/>
  <c r="Q52" i="2"/>
  <c r="Q34" i="2"/>
  <c r="Q80" i="2"/>
  <c r="Q117" i="2"/>
  <c r="Q46" i="2"/>
  <c r="Q48" i="2"/>
  <c r="Q92" i="2"/>
  <c r="Q56" i="2"/>
  <c r="Q18" i="2"/>
  <c r="Q88" i="2"/>
  <c r="Q114" i="2"/>
  <c r="Q105" i="2"/>
  <c r="Q86" i="2"/>
  <c r="Q59" i="2"/>
  <c r="Q60" i="2"/>
  <c r="Q62" i="2"/>
  <c r="Q57" i="2"/>
  <c r="Q16" i="2"/>
  <c r="Q96" i="2"/>
  <c r="Q58" i="2"/>
  <c r="Q99" i="2"/>
  <c r="Q14" i="2"/>
  <c r="Q84" i="2"/>
  <c r="Q115" i="2"/>
  <c r="Q69" i="2"/>
  <c r="Q127" i="2"/>
  <c r="Q107" i="2"/>
  <c r="Q83" i="2"/>
  <c r="Q110" i="2"/>
  <c r="Q100" i="2"/>
  <c r="Q55" i="2"/>
  <c r="Q78" i="2"/>
  <c r="Q19" i="2"/>
  <c r="Q113" i="2"/>
  <c r="Q61" i="2"/>
  <c r="Q51" i="2"/>
  <c r="Q30" i="2"/>
  <c r="Q79" i="2"/>
  <c r="Q89" i="2"/>
  <c r="Q106" i="2"/>
  <c r="Q70" i="2"/>
  <c r="Q27" i="2"/>
  <c r="Q40" i="2"/>
  <c r="Q8" i="2"/>
  <c r="Q11" i="2"/>
  <c r="Q68" i="2"/>
  <c r="Q29" i="2"/>
  <c r="Q74" i="2"/>
  <c r="Q95" i="2"/>
  <c r="Q24" i="2"/>
  <c r="Q118" i="2"/>
  <c r="Q90" i="2"/>
  <c r="Q9" i="2"/>
  <c r="Q93" i="2"/>
  <c r="Q6" i="2"/>
  <c r="Q63" i="2"/>
  <c r="Q38" i="2"/>
  <c r="Q2" i="2"/>
  <c r="R5" i="2" l="1"/>
  <c r="R125" i="2"/>
  <c r="R22" i="2"/>
  <c r="R44" i="2"/>
  <c r="R103" i="2"/>
  <c r="R112" i="2"/>
  <c r="R33" i="2"/>
  <c r="R119" i="2"/>
  <c r="R10" i="2"/>
  <c r="R122" i="2"/>
  <c r="R37" i="2"/>
  <c r="R12" i="2"/>
  <c r="R101" i="2"/>
  <c r="R91" i="2"/>
  <c r="R76" i="2"/>
  <c r="R28" i="2"/>
  <c r="R25" i="2"/>
  <c r="R20" i="2"/>
  <c r="R47" i="2"/>
  <c r="R43" i="2"/>
  <c r="R94" i="2"/>
  <c r="R17" i="2"/>
  <c r="R66" i="2"/>
  <c r="R7" i="2"/>
  <c r="R87" i="2"/>
  <c r="R32" i="2"/>
  <c r="R121" i="2"/>
  <c r="R21" i="2"/>
  <c r="R72" i="2"/>
  <c r="R73" i="2"/>
  <c r="R4" i="2"/>
  <c r="R75" i="2"/>
  <c r="R23" i="2"/>
  <c r="R109" i="2"/>
  <c r="R64" i="2"/>
  <c r="R126" i="2"/>
  <c r="R54" i="2"/>
  <c r="R26" i="2"/>
  <c r="R116" i="2"/>
  <c r="R36" i="2"/>
  <c r="R35" i="2"/>
  <c r="R39" i="2"/>
  <c r="R104" i="2"/>
  <c r="R49" i="2"/>
  <c r="R97" i="2"/>
  <c r="R108" i="2"/>
  <c r="R41" i="2"/>
  <c r="R13" i="2"/>
  <c r="R98" i="2"/>
  <c r="R45" i="2"/>
  <c r="R71" i="2"/>
  <c r="R53" i="2"/>
  <c r="R123" i="2"/>
  <c r="R81" i="2"/>
  <c r="R15" i="2"/>
  <c r="R3" i="2"/>
  <c r="R67" i="2"/>
  <c r="R82" i="2"/>
  <c r="R120" i="2"/>
  <c r="R31" i="2"/>
  <c r="R65" i="2"/>
  <c r="R42" i="2"/>
  <c r="R124" i="2"/>
  <c r="R111" i="2"/>
  <c r="R77" i="2"/>
  <c r="R102" i="2"/>
  <c r="R50" i="2"/>
  <c r="R85" i="2"/>
  <c r="R52" i="2"/>
  <c r="R34" i="2"/>
  <c r="R80" i="2"/>
  <c r="R117" i="2"/>
  <c r="R46" i="2"/>
  <c r="R48" i="2"/>
  <c r="R92" i="2"/>
  <c r="R56" i="2"/>
  <c r="R18" i="2"/>
  <c r="R88" i="2"/>
  <c r="R114" i="2"/>
  <c r="R105" i="2"/>
  <c r="R86" i="2"/>
  <c r="R59" i="2"/>
  <c r="R60" i="2"/>
  <c r="R62" i="2"/>
  <c r="R57" i="2"/>
  <c r="R16" i="2"/>
  <c r="R96" i="2"/>
  <c r="R58" i="2"/>
  <c r="R99" i="2"/>
  <c r="R14" i="2"/>
  <c r="R84" i="2"/>
  <c r="R115" i="2"/>
  <c r="R69" i="2"/>
  <c r="R127" i="2"/>
  <c r="R107" i="2"/>
  <c r="R83" i="2"/>
  <c r="R110" i="2"/>
  <c r="R100" i="2"/>
  <c r="R55" i="2"/>
  <c r="R78" i="2"/>
  <c r="R19" i="2"/>
  <c r="R113" i="2"/>
  <c r="R61" i="2"/>
  <c r="R51" i="2"/>
  <c r="R30" i="2"/>
  <c r="R79" i="2"/>
  <c r="R89" i="2"/>
  <c r="R106" i="2"/>
  <c r="R70" i="2"/>
  <c r="R27" i="2"/>
  <c r="R40" i="2"/>
  <c r="R8" i="2"/>
  <c r="R11" i="2"/>
  <c r="R68" i="2"/>
  <c r="R29" i="2"/>
  <c r="R74" i="2"/>
  <c r="R95" i="2"/>
  <c r="R24" i="2"/>
  <c r="R118" i="2"/>
  <c r="R90" i="2"/>
  <c r="R9" i="2"/>
  <c r="R93" i="2"/>
  <c r="R6" i="2"/>
  <c r="R63" i="2"/>
  <c r="R38" i="2"/>
  <c r="R2" i="2"/>
  <c r="S6" i="2" l="1"/>
  <c r="S12" i="2"/>
  <c r="S52" i="2"/>
  <c r="S53" i="2"/>
  <c r="S84" i="2"/>
  <c r="S112" i="2"/>
  <c r="S36" i="2"/>
  <c r="S14" i="2"/>
  <c r="S120" i="2"/>
  <c r="S80" i="2"/>
  <c r="S37" i="2"/>
  <c r="S117" i="2"/>
  <c r="S116" i="2"/>
  <c r="S65" i="2"/>
  <c r="S38" i="2"/>
  <c r="S69" i="2"/>
  <c r="S17" i="2"/>
  <c r="S61" i="2"/>
  <c r="S96" i="2"/>
  <c r="S26" i="2"/>
  <c r="S15" i="2"/>
  <c r="S49" i="2"/>
  <c r="S33" i="2"/>
  <c r="S32" i="2"/>
  <c r="S8" i="2"/>
  <c r="S29" i="2"/>
  <c r="S107" i="2"/>
  <c r="S75" i="2"/>
  <c r="S77" i="2"/>
  <c r="S40" i="2"/>
  <c r="S101" i="2"/>
  <c r="S85" i="2"/>
  <c r="S126" i="2"/>
  <c r="S127" i="2"/>
  <c r="S113" i="2"/>
  <c r="S102" i="2"/>
  <c r="S110" i="2"/>
  <c r="S81" i="2"/>
  <c r="S97" i="2"/>
  <c r="S64" i="2"/>
  <c r="S115" i="2"/>
  <c r="S118" i="2"/>
  <c r="S45" i="2"/>
  <c r="S83" i="2"/>
  <c r="S67" i="2"/>
  <c r="S27" i="2"/>
  <c r="S93" i="2"/>
  <c r="S66" i="2"/>
  <c r="S43" i="2"/>
  <c r="S34" i="2"/>
  <c r="S44" i="2"/>
  <c r="S7" i="2"/>
  <c r="S47" i="2"/>
  <c r="S62" i="2"/>
  <c r="S99" i="2"/>
  <c r="S46" i="2"/>
  <c r="S90" i="2"/>
  <c r="S106" i="2"/>
  <c r="S60" i="2"/>
  <c r="S105" i="2"/>
  <c r="S48" i="2"/>
  <c r="S57" i="2"/>
  <c r="S42" i="2"/>
  <c r="S71" i="2"/>
  <c r="S55" i="2"/>
  <c r="S114" i="2"/>
  <c r="S72" i="2"/>
  <c r="S22" i="2"/>
  <c r="S92" i="2"/>
  <c r="S119" i="2"/>
  <c r="S104" i="2"/>
  <c r="S76" i="2"/>
  <c r="S30" i="2"/>
  <c r="S109" i="2"/>
  <c r="S35" i="2"/>
  <c r="S68" i="2"/>
  <c r="S20" i="2"/>
  <c r="S9" i="2"/>
  <c r="S91" i="2"/>
  <c r="S51" i="2"/>
  <c r="S88" i="2"/>
  <c r="S2" i="2"/>
  <c r="S82" i="2"/>
  <c r="S21" i="2"/>
  <c r="S10" i="2"/>
  <c r="S79" i="2"/>
  <c r="S89" i="2"/>
  <c r="S19" i="2"/>
  <c r="S73" i="2"/>
  <c r="S11" i="2"/>
  <c r="S108" i="2"/>
  <c r="S111" i="2"/>
  <c r="S121" i="2"/>
  <c r="S31" i="2"/>
  <c r="S70" i="2"/>
  <c r="S4" i="2"/>
  <c r="S122" i="2"/>
  <c r="S125" i="2"/>
  <c r="S87" i="2"/>
  <c r="S39" i="2"/>
  <c r="S124" i="2"/>
  <c r="S13" i="2"/>
  <c r="S95" i="2"/>
  <c r="S63" i="2"/>
  <c r="S74" i="2"/>
  <c r="S41" i="2"/>
  <c r="S56" i="2"/>
  <c r="S100" i="2"/>
  <c r="S123" i="2"/>
  <c r="S78" i="2"/>
  <c r="S59" i="2"/>
  <c r="S24" i="2"/>
  <c r="S23" i="2"/>
  <c r="S28" i="2"/>
  <c r="S94" i="2"/>
  <c r="S16" i="2"/>
  <c r="S5" i="2"/>
  <c r="S58" i="2"/>
  <c r="S3" i="2"/>
  <c r="S25" i="2"/>
  <c r="S86" i="2"/>
  <c r="S98" i="2"/>
  <c r="S54" i="2"/>
  <c r="S18" i="2"/>
  <c r="S103" i="2"/>
  <c r="S50" i="2"/>
</calcChain>
</file>

<file path=xl/sharedStrings.xml><?xml version="1.0" encoding="utf-8"?>
<sst xmlns="http://schemas.openxmlformats.org/spreadsheetml/2006/main" count="407" uniqueCount="269">
  <si>
    <t>Claimid</t>
  </si>
  <si>
    <t>Telephone Bill Date</t>
  </si>
  <si>
    <t>Facility</t>
  </si>
  <si>
    <t>Description of Expense</t>
  </si>
  <si>
    <t>Amount</t>
  </si>
  <si>
    <t>Expense Category</t>
  </si>
  <si>
    <t>Claim Type</t>
  </si>
  <si>
    <t>Travel Mode</t>
  </si>
  <si>
    <t>Expense Category for Telephone bill</t>
  </si>
  <si>
    <t>Expense Category for Expense, PV Claims</t>
  </si>
  <si>
    <t>Payment Mode</t>
  </si>
  <si>
    <t>Bank Name</t>
  </si>
  <si>
    <t>Bank Code</t>
  </si>
  <si>
    <t>User Role</t>
  </si>
  <si>
    <t>Facility Name</t>
  </si>
  <si>
    <t>Expense</t>
  </si>
  <si>
    <t>Private Car</t>
  </si>
  <si>
    <t>AH HSK</t>
  </si>
  <si>
    <t>Telecommunication charges</t>
  </si>
  <si>
    <t>Employee Recreation Welfare</t>
  </si>
  <si>
    <t>Fast Payment</t>
  </si>
  <si>
    <t>Australia &amp; New Zealand Banking Group Limited</t>
  </si>
  <si>
    <t>Finance</t>
  </si>
  <si>
    <t>Petty Cash</t>
  </si>
  <si>
    <t>Motor Bike</t>
  </si>
  <si>
    <t>AH STW</t>
  </si>
  <si>
    <t>Accomodation SHN</t>
  </si>
  <si>
    <t>PayNow</t>
  </si>
  <si>
    <t>Bangkok Bank Public Company Limited</t>
  </si>
  <si>
    <t>HR</t>
  </si>
  <si>
    <t>AH UET</t>
  </si>
  <si>
    <t>Contract Labour</t>
  </si>
  <si>
    <t>GIRO</t>
  </si>
  <si>
    <t>Bank Of America, N.A.</t>
  </si>
  <si>
    <t>User</t>
  </si>
  <si>
    <t>AIS</t>
  </si>
  <si>
    <t>Donations</t>
  </si>
  <si>
    <t>TT</t>
  </si>
  <si>
    <t>Bank Of China Limited</t>
  </si>
  <si>
    <t>AMARA SC</t>
  </si>
  <si>
    <t xml:space="preserve">Durables - new fixed assets &lt; $2,000 </t>
  </si>
  <si>
    <t>RTGS</t>
  </si>
  <si>
    <t>Bank Of India</t>
  </si>
  <si>
    <t>ASSISI</t>
  </si>
  <si>
    <t>Entertainment</t>
  </si>
  <si>
    <t>Bank Of Tokyo-Mitsubishi UFJ, Limited</t>
  </si>
  <si>
    <t>BMH</t>
  </si>
  <si>
    <t>Medical</t>
  </si>
  <si>
    <t>BNP Paribas</t>
  </si>
  <si>
    <t>BTR IFM</t>
  </si>
  <si>
    <t>Postages &amp; courier services</t>
  </si>
  <si>
    <t>Chinatrust Commercial Bank Co. Limited</t>
  </si>
  <si>
    <t>BVH</t>
  </si>
  <si>
    <t>Printing &amp; stationery</t>
  </si>
  <si>
    <t>CIMB Bank Berhad</t>
  </si>
  <si>
    <t>CARGOTEC</t>
  </si>
  <si>
    <t>Recruitment</t>
  </si>
  <si>
    <t>Citibank N.A, Singapore Branch</t>
  </si>
  <si>
    <t>CGH HSK</t>
  </si>
  <si>
    <t>Repairs &amp; maintenance - motor vehicles</t>
  </si>
  <si>
    <t>Citibank Singapore Limited</t>
  </si>
  <si>
    <t>CGH UET</t>
  </si>
  <si>
    <t>Subscriptions - company memberships</t>
  </si>
  <si>
    <t>Commerzbank Aktiengesellschaft</t>
  </si>
  <si>
    <t>COGNITA FM</t>
  </si>
  <si>
    <t>Subscriptions - employee memberships</t>
  </si>
  <si>
    <t>Crédit Agricole Corporate And Investment Bank</t>
  </si>
  <si>
    <t>CPIB</t>
  </si>
  <si>
    <t>Supplies</t>
  </si>
  <si>
    <t>DBS Bank Limited</t>
  </si>
  <si>
    <t>Deutsche Bank AG</t>
  </si>
  <si>
    <t>FLOAT TEAM</t>
  </si>
  <si>
    <t>Tendering expenses</t>
  </si>
  <si>
    <t>DNB Bank ASA</t>
  </si>
  <si>
    <t>FM Float Team</t>
  </si>
  <si>
    <t>Training &amp; Educatoin</t>
  </si>
  <si>
    <t>First Commercial Bank</t>
  </si>
  <si>
    <t>FM MA</t>
  </si>
  <si>
    <t>Travelling expenses - local transport</t>
  </si>
  <si>
    <t>HL Bank</t>
  </si>
  <si>
    <t>General</t>
  </si>
  <si>
    <t xml:space="preserve">Travelling expenses - private vehicle </t>
  </si>
  <si>
    <t>Hongkong And Shanghai Banking Corporation Limited (Corporate)</t>
  </si>
  <si>
    <t>GSP</t>
  </si>
  <si>
    <t>Travelling Private Car</t>
  </si>
  <si>
    <t>HSBC Bank (Singapore) Limited (Personal)</t>
  </si>
  <si>
    <t>Uniforms</t>
  </si>
  <si>
    <t>ICICI Bank Limited</t>
  </si>
  <si>
    <t>Utilities - electricity/water</t>
  </si>
  <si>
    <t>Indian Bank</t>
  </si>
  <si>
    <t>Indian Overseas Bank</t>
  </si>
  <si>
    <t>Industrial &amp; Commercial Bank Of China</t>
  </si>
  <si>
    <t>Intesa Sanpaolo S.P.A.</t>
  </si>
  <si>
    <t>HQ-Finance</t>
  </si>
  <si>
    <t>JPMorgan Chase Bank, N.A.</t>
  </si>
  <si>
    <t>HQ-HR Recruitment</t>
  </si>
  <si>
    <t>Korea Exchange Bank</t>
  </si>
  <si>
    <t>HQ-HR Support Services</t>
  </si>
  <si>
    <t>Malayan Banking Berhad</t>
  </si>
  <si>
    <t>Maybank Singapore Limited</t>
  </si>
  <si>
    <t>HQ-Procurement</t>
  </si>
  <si>
    <t>Mizuho Bank Limited</t>
  </si>
  <si>
    <t>HQ-Tech Services</t>
  </si>
  <si>
    <t>National Australia Bank Limited</t>
  </si>
  <si>
    <t>Nordea Bank Finland PLC</t>
  </si>
  <si>
    <t>HRD</t>
  </si>
  <si>
    <t>Oversea-Chinese Banking Corpn Limited</t>
  </si>
  <si>
    <t>IFS</t>
  </si>
  <si>
    <t>PT Bank Negara Indonesia (Persero) TBK</t>
  </si>
  <si>
    <t>Qatar National Bank SAQ</t>
  </si>
  <si>
    <t>IPOS</t>
  </si>
  <si>
    <t>RHB Bank Berhad</t>
  </si>
  <si>
    <t>Skandinaviska Enskilda Banken AB (Publ)</t>
  </si>
  <si>
    <t>Societe Generale</t>
  </si>
  <si>
    <t>Standard Chartered Bank, (Singapore) Limited</t>
  </si>
  <si>
    <t>JTCWS-HSK</t>
  </si>
  <si>
    <t>Standard Chartered Bank, Singapore Branch</t>
  </si>
  <si>
    <t>KKWCH</t>
  </si>
  <si>
    <t>State Bank Of India</t>
  </si>
  <si>
    <t>KTP</t>
  </si>
  <si>
    <t>Sumitomo Mitsui Banking Corporation</t>
  </si>
  <si>
    <t>KTPH - UET</t>
  </si>
  <si>
    <t>Svenska Handelsbanken AB (Publ)</t>
  </si>
  <si>
    <t>The Bank Of East Asia Limited</t>
  </si>
  <si>
    <t>UBS AG</t>
  </si>
  <si>
    <t>MAPLETREE - SRG</t>
  </si>
  <si>
    <t>UCO Bank</t>
  </si>
  <si>
    <t>MAYBANK ATM</t>
  </si>
  <si>
    <t>UniCredit Bank AG</t>
  </si>
  <si>
    <t>MFT</t>
  </si>
  <si>
    <t>United Overseas Bank Limited</t>
  </si>
  <si>
    <t>MITSUI HOUSE</t>
  </si>
  <si>
    <t>MOHH</t>
  </si>
  <si>
    <t>MOHH BBWNH</t>
  </si>
  <si>
    <t>MOHH PHCH</t>
  </si>
  <si>
    <t>MOHH SENJA</t>
  </si>
  <si>
    <t>MOHH TCH</t>
  </si>
  <si>
    <t>MOHH WNH</t>
  </si>
  <si>
    <t>NCR</t>
  </si>
  <si>
    <t>NHB</t>
  </si>
  <si>
    <t>NUH UET</t>
  </si>
  <si>
    <t>PA - CLUSTER</t>
  </si>
  <si>
    <t>PAHB</t>
  </si>
  <si>
    <t>PARLIAMENT</t>
  </si>
  <si>
    <t>PCF</t>
  </si>
  <si>
    <t>PMC</t>
  </si>
  <si>
    <t>PMC - BTR</t>
  </si>
  <si>
    <t>PMC - CPIB</t>
  </si>
  <si>
    <t>PMC - DISINFECTION</t>
  </si>
  <si>
    <t>PMC - PA Cluster</t>
  </si>
  <si>
    <t>PMC - PARHSE</t>
  </si>
  <si>
    <t>RED CROSS</t>
  </si>
  <si>
    <t>REN CI</t>
  </si>
  <si>
    <t>SABANA</t>
  </si>
  <si>
    <t>SABANA PENJURU</t>
  </si>
  <si>
    <t>SAM</t>
  </si>
  <si>
    <t>SBWS</t>
  </si>
  <si>
    <t>SEAB</t>
  </si>
  <si>
    <t>SGH VMS</t>
  </si>
  <si>
    <t>SHP</t>
  </si>
  <si>
    <t>SLA</t>
  </si>
  <si>
    <t>StarMed</t>
  </si>
  <si>
    <t>SYFC</t>
  </si>
  <si>
    <t>TTSH HA</t>
  </si>
  <si>
    <t>TTSH HA - COVID-19</t>
  </si>
  <si>
    <t>TTSH UET</t>
  </si>
  <si>
    <t>TTSH UET - COVID-19</t>
  </si>
  <si>
    <t>WT</t>
  </si>
  <si>
    <t>YCH</t>
  </si>
  <si>
    <t>HQ-Technology Services</t>
  </si>
  <si>
    <t>HQ-HSE</t>
  </si>
  <si>
    <t>SL-ELDE</t>
  </si>
  <si>
    <t>SKH UET</t>
  </si>
  <si>
    <t>NTUC-MA</t>
  </si>
  <si>
    <t>CREATE</t>
  </si>
  <si>
    <t>NTUC HEALTH</t>
  </si>
  <si>
    <t>RC HOTELS</t>
  </si>
  <si>
    <t>FLOAT - NURSING HOME</t>
  </si>
  <si>
    <t>STORE</t>
  </si>
  <si>
    <t>HQ-HR L &amp; D</t>
  </si>
  <si>
    <t>SKGH HA</t>
  </si>
  <si>
    <t>SKH HSK</t>
  </si>
  <si>
    <t>NTFGH-STW</t>
  </si>
  <si>
    <t>EFM (HRCT)</t>
  </si>
  <si>
    <t>SPB</t>
  </si>
  <si>
    <t xml:space="preserve">KWSH-M&amp;E </t>
  </si>
  <si>
    <t>URA</t>
  </si>
  <si>
    <t>HQ HEALTHCARE</t>
  </si>
  <si>
    <t>HQ NON-HEALTHCARE</t>
  </si>
  <si>
    <t>BD AND MARKETING</t>
  </si>
  <si>
    <t>search</t>
  </si>
  <si>
    <t>number</t>
  </si>
  <si>
    <t>filter</t>
  </si>
  <si>
    <t>CCC</t>
  </si>
  <si>
    <t>KINN-HOTEL</t>
  </si>
  <si>
    <t>MHA</t>
  </si>
  <si>
    <t>CCS</t>
  </si>
  <si>
    <t>PCPH</t>
  </si>
  <si>
    <t>ALPHA WOMEN</t>
  </si>
  <si>
    <t>EARLY ASCENT</t>
  </si>
  <si>
    <t>FLOAT-HEALTHCARE</t>
  </si>
  <si>
    <t>AERCAP</t>
  </si>
  <si>
    <t>AIS(COGNITA HSK)</t>
  </si>
  <si>
    <t>HAIDILAO</t>
  </si>
  <si>
    <t>HITACHI</t>
  </si>
  <si>
    <t>DSBJ</t>
  </si>
  <si>
    <t>C&amp;W</t>
  </si>
  <si>
    <t>QBC</t>
  </si>
  <si>
    <t>FIS SYS</t>
  </si>
  <si>
    <t>KERRY EXPRESS</t>
  </si>
  <si>
    <t>EATON</t>
  </si>
  <si>
    <t>PAVE</t>
  </si>
  <si>
    <t>RCSS</t>
  </si>
  <si>
    <t>MUFG</t>
  </si>
  <si>
    <t>CNB</t>
  </si>
  <si>
    <t>MTI-DOS</t>
  </si>
  <si>
    <t>SABANA-HSK</t>
  </si>
  <si>
    <t>Metta Sch</t>
  </si>
  <si>
    <t>URA-HSK</t>
  </si>
  <si>
    <t>SAM-HSK</t>
  </si>
  <si>
    <t>BCS</t>
  </si>
  <si>
    <t>HQ-HOSPCOM</t>
  </si>
  <si>
    <t>KWSH-M&amp;E</t>
  </si>
  <si>
    <t>SPORTSG</t>
  </si>
  <si>
    <t>MUIS</t>
  </si>
  <si>
    <t>EDMUNDTIE</t>
  </si>
  <si>
    <t>Training &amp; Education</t>
  </si>
  <si>
    <t>COS_Material/Services</t>
  </si>
  <si>
    <t>Durables - new fixed assets &lt; $2,000</t>
  </si>
  <si>
    <t>Printing &amp; Stationary, Newspaper</t>
  </si>
  <si>
    <t>Travelling expenses - private vehicle</t>
  </si>
  <si>
    <t>HQ - Medical</t>
  </si>
  <si>
    <t>HQ - Recruitment</t>
  </si>
  <si>
    <t>HQ - Training &amp; Education</t>
  </si>
  <si>
    <t>HQ -Uniforms</t>
  </si>
  <si>
    <t>DIVIDEND APPROPRIATION</t>
  </si>
  <si>
    <t>HQ - Employee Recreation Welfare</t>
  </si>
  <si>
    <t>Employee Recretion Welfare-HSHC</t>
  </si>
  <si>
    <t>INPUT TAX(GST)</t>
  </si>
  <si>
    <t>PREPAYMENT</t>
  </si>
  <si>
    <t>TENDER DEPOSITS</t>
  </si>
  <si>
    <t>OTHER DEPOSIT</t>
  </si>
  <si>
    <t>MEDICAL ART/SWAB TEST</t>
  </si>
  <si>
    <t>HQ_MEDICAL/ART/SWAB TEST</t>
  </si>
  <si>
    <t>PETTY CASH A/C-UEMS</t>
  </si>
  <si>
    <t>COS-TRAINING &amp; EDUCATION EXP WSQ</t>
  </si>
  <si>
    <t>PAYROLL CONTROL ACCOUNT</t>
  </si>
  <si>
    <t>HQ-UNIFORM</t>
  </si>
  <si>
    <t>ADVERTISING &amp; PROMOTIONS</t>
  </si>
  <si>
    <t>LEGAL FEES</t>
  </si>
  <si>
    <t>MISCELLANEOUS VARIABLE COSTS</t>
  </si>
  <si>
    <t>TEL CHARGES-ALLOWANCE</t>
  </si>
  <si>
    <t>Telecommunication charges.</t>
  </si>
  <si>
    <t>Accomodation</t>
  </si>
  <si>
    <t>ACCOMODATION HDB</t>
  </si>
  <si>
    <t>ACCOMODATION CO LIVING &amp; OTHERS</t>
  </si>
  <si>
    <t>Insurance Others-Industral Risk</t>
  </si>
  <si>
    <t>INS - OTHERS</t>
  </si>
  <si>
    <t>WORKMEN COMP</t>
  </si>
  <si>
    <t>LICENCE FEE</t>
  </si>
  <si>
    <t>RENT - OE, P&amp;M KKH</t>
  </si>
  <si>
    <t>HQ - OFFICE/WAREHOUSE RENT - EXTERNAL</t>
  </si>
  <si>
    <t>REPAIRS &amp; MAINTENANCE - OTHERS</t>
  </si>
  <si>
    <t>RENTAL DEPOSIT</t>
  </si>
  <si>
    <t>TRAVELLING EXPENSES - OVERSEAS</t>
  </si>
  <si>
    <t>SCB 7144-001-0106345397</t>
  </si>
  <si>
    <t>UOB 451-303-920-9 (UEMS)</t>
  </si>
  <si>
    <t>CIMB 200-050-088-7 (UEMS)</t>
  </si>
  <si>
    <t>CITI 0-006630-006 (UEMS)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</si>
</sst>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/m/yyyy;@"/>
    <numFmt numFmtId="165" formatCode="[$$-4809]#,##0.00"/>
  </numFmts>
  <fonts count="12">
    <font>
      <sz val="10"/>
      <color rgb="FF000000"/>
      <name val="Arial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sz val="11"/>
      <color rgb="FF1C273C"/>
      <name val="Calibri"/>
      <family val="2"/>
    </font>
    <font>
      <sz val="11"/>
      <color rgb="FF1C273C"/>
      <name val="Arial"/>
      <family val="2"/>
      <scheme val="minor"/>
    </font>
    <font>
      <sz val="11"/>
      <color rgb="FF1C273C"/>
      <name val="Roboto"/>
    </font>
  </fonts>
  <fills count="6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rgb="FFE3E7ED"/>
      </right>
      <top style="medium">
        <color rgb="FFE3E7ED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3" borderId="1" xfId="0" applyFont="1" applyFill="1" applyBorder="1"/>
    <xf numFmtId="0" fontId="1" fillId="0" borderId="1" xfId="0" applyFont="1" applyBorder="1"/>
    <xf numFmtId="0" fontId="2" fillId="0" borderId="0" xfId="0" applyFont="1"/>
    <xf numFmtId="0" fontId="3" fillId="4" borderId="1" xfId="0" applyFont="1" applyFill="1" applyBorder="1"/>
    <xf numFmtId="0" fontId="1" fillId="0" borderId="1" xfId="0" applyFont="1" applyBorder="1" applyAlignment="1">
      <alignment wrapText="1"/>
    </xf>
    <xf numFmtId="0" fontId="3" fillId="0" borderId="1" xfId="0" applyFont="1" applyBorder="1" applyAlignment="1">
      <alignment vertical="top"/>
    </xf>
    <xf numFmtId="0" fontId="1" fillId="4" borderId="1" xfId="0" applyFont="1" applyFill="1" applyBorder="1"/>
    <xf numFmtId="0" fontId="4" fillId="0" borderId="1" xfId="0" applyFont="1" applyBorder="1" applyAlignment="1">
      <alignment vertical="top"/>
    </xf>
    <xf numFmtId="0" fontId="1" fillId="4" borderId="1" xfId="0" applyFont="1" applyFill="1" applyBorder="1" applyAlignment="1">
      <alignment wrapText="1"/>
    </xf>
    <xf numFmtId="0" fontId="4" fillId="0" borderId="1" xfId="0" applyFont="1" applyBorder="1"/>
    <xf numFmtId="0" fontId="3" fillId="0" borderId="1" xfId="0" applyFont="1" applyBorder="1"/>
    <xf numFmtId="0" fontId="3" fillId="4" borderId="1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6" fillId="0" borderId="0" xfId="0" applyFont="1"/>
    <xf numFmtId="164" fontId="6" fillId="0" borderId="0" xfId="0" applyNumberFormat="1" applyFont="1"/>
    <xf numFmtId="165" fontId="6" fillId="0" borderId="0" xfId="0" applyNumberFormat="1" applyFont="1"/>
    <xf numFmtId="0" fontId="7" fillId="0" borderId="0" xfId="0" applyFont="1"/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3" fillId="0" borderId="3" xfId="0" applyFont="1" applyBorder="1" applyAlignment="1">
      <alignment vertical="center"/>
    </xf>
    <xf numFmtId="0" fontId="3" fillId="5" borderId="4" xfId="0" applyFont="1" applyFill="1" applyBorder="1" applyAlignment="1">
      <alignment wrapText="1"/>
    </xf>
    <xf numFmtId="0" fontId="3" fillId="5" borderId="3" xfId="0" applyFont="1" applyFill="1" applyBorder="1" applyAlignment="1">
      <alignment vertical="center"/>
    </xf>
    <xf numFmtId="0" fontId="3" fillId="0" borderId="4" xfId="0" applyFont="1" applyBorder="1" applyAlignment="1">
      <alignment wrapText="1"/>
    </xf>
    <xf numFmtId="0" fontId="10" fillId="0" borderId="0" xfId="0" applyFont="1"/>
    <xf numFmtId="0" fontId="9" fillId="0" borderId="5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1" fillId="3" borderId="2" xfId="0" applyFont="1" applyFill="1" applyBorder="1"/>
    <xf numFmtId="0" fontId="1" fillId="3" borderId="6" xfId="0" applyFont="1" applyFill="1" applyBorder="1"/>
    <xf numFmtId="0" fontId="9" fillId="0" borderId="1" xfId="0" applyNumberFormat="1" applyFont="1" applyBorder="1" applyAlignment="1">
      <alignment horizontal="left"/>
    </xf>
    <xf numFmtId="0" fontId="11" fillId="0" borderId="7" xfId="0" applyFont="1" applyBorder="1" applyAlignment="1">
      <alignment vertical="center"/>
    </xf>
  </cellXfs>
  <cellStyles count="1"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8E6D06-EA54-412A-8839-E28A45D74105}" name="Table1" displayName="Table1" ref="P1:S127" totalsRowShown="0" headerRowDxfId="37" dataDxfId="36" tableBorderDxfId="35">
  <autoFilter ref="P1:S127" xr:uid="{CDD4503D-FAD7-4D7B-830D-1148D1494013}"/>
  <tableColumns count="4">
    <tableColumn id="1" xr3:uid="{93A843D8-9388-42CD-8AF2-B655294E1AA0}" name="Facility Name" dataDxfId="21"/>
    <tableColumn id="2" xr3:uid="{83DD249F-294F-4844-B2AB-A77CA810192C}" name="search" dataDxfId="34">
      <calculatedColumnFormula>IF(ISERROR(SEARCH(INDIRECT(CELL("address")),P2:P186)),0,1)</calculatedColumnFormula>
    </tableColumn>
    <tableColumn id="3" xr3:uid="{28F03312-4F8A-40E4-AD29-337AED3D0C05}" name="number" dataDxfId="33">
      <calculatedColumnFormula>IF(Q2=0,"",COUNTIF($Q$2:Q2,1))</calculatedColumnFormula>
    </tableColumn>
    <tableColumn id="4" xr3:uid="{93D6307B-06EC-4228-9CCE-6F7C3F18A3E0}" name="filter" dataDxfId="32">
      <calculatedColumnFormula>IFERROR(INDEX(P:P, MATCH(ROW(R1),R:R,0)),"")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2C0778-11C8-4628-B01E-0FA97E9630AE}" name="Table2" displayName="Table2" ref="V1:Y23" totalsRowShown="0" headerRowDxfId="31" headerRowBorderDxfId="30" tableBorderDxfId="29">
  <autoFilter ref="V1:Y23" xr:uid="{F800236C-8BD6-4115-9BE2-B781DA1F4620}"/>
  <tableColumns count="4">
    <tableColumn id="1" xr3:uid="{B9FAC12E-54F7-4791-A789-116291841C49}" name="Expense Category for Expense, PV Claims"/>
    <tableColumn id="2" xr3:uid="{0A797F85-7B16-4781-8A33-23A15E3C3479}" name="search" dataDxfId="28">
      <calculatedColumnFormula>IF(ISERROR(SEARCH(INDIRECT(CELL("address")),V2:V115)),0,1)</calculatedColumnFormula>
    </tableColumn>
    <tableColumn id="3" xr3:uid="{87FB8BDB-7E68-4A02-907E-935B73470F15}" name="number" dataDxfId="27">
      <calculatedColumnFormula>IF(W2=0,"",COUNTIF($W$2:W2,1))</calculatedColumnFormula>
    </tableColumn>
    <tableColumn id="4" xr3:uid="{6B78C340-50F7-4090-8733-1408EADDFA04}" name="filter" dataDxfId="26">
      <calculatedColumnFormula>IFERROR(INDEX(V:V, MATCH(ROW(X1),X:X,0)),"")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tabSelected="1" workbookViewId="0">
      <selection activeCell="F25" sqref="F25"/>
    </sheetView>
  </sheetViews>
  <sheetFormatPr defaultRowHeight="12.75"/>
  <cols>
    <col min="1" max="1" width="7.85546875" style="15" bestFit="1" customWidth="1"/>
    <col min="2" max="2" width="18.85546875" style="15" bestFit="1" customWidth="1"/>
    <col min="3" max="3" width="26.140625" style="15" customWidth="1"/>
    <col min="4" max="4" width="21.85546875" style="15" bestFit="1" customWidth="1"/>
    <col min="5" max="5" width="8.42578125" style="15" bestFit="1" customWidth="1"/>
    <col min="6" max="6" width="17" style="15" bestFit="1" customWidth="1"/>
    <col min="7" max="16384" width="9.140625" style="15"/>
  </cols>
  <sheetData>
    <row r="1" spans="1:6" ht="1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</row>
    <row r="2" spans="1:6">
      <c r="B2" s="16"/>
      <c r="E2" s="17"/>
      <c r="F2" s="18"/>
    </row>
  </sheetData>
  <dataValidations count="6">
    <dataValidation type="whole" operator="greaterThan" showInputMessage="1" showErrorMessage="1" prompt="Claim ID" sqref="A2" xr:uid="{00000000-0002-0000-0000-000000000000}">
      <formula1>0</formula1>
    </dataValidation>
    <dataValidation showInputMessage="1" showErrorMessage="1" prompt="Enter Telephone Bill Date in DD/MM/YYYY format" sqref="B2" xr:uid="{00000000-0002-0000-0000-000001000000}"/>
    <dataValidation allowBlank="1" showInputMessage="1" showErrorMessage="1" prompt="Description of Expense" sqref="D2" xr:uid="{00000000-0002-0000-0000-000002000000}"/>
    <dataValidation type="decimal" operator="greaterThan" allowBlank="1" showInputMessage="1" showErrorMessage="1" errorTitle="Amount" error="Enter Amount" prompt="Amount" sqref="E2" xr:uid="{00000000-0002-0000-0000-000003000000}">
      <formula1>0</formula1>
    </dataValidation>
    <dataValidation type="list" allowBlank="1" showInputMessage="1" prompt="Select Facility" sqref="C2:C1048576" xr:uid="{38099CDE-BB8C-43B8-92DA-4548CB42E7E9}">
      <formula1>facility_pic</formula1>
    </dataValidation>
    <dataValidation type="list" allowBlank="1" showInputMessage="1" prompt="Select Expense Category" sqref="F2:F1048576" xr:uid="{63F160EF-AB99-4547-9F8D-8079FB03D3F2}">
      <formula1>expense_cat_pic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71"/>
  <sheetViews>
    <sheetView topLeftCell="N1" workbookViewId="0">
      <selection activeCell="G5" sqref="G5:G69"/>
    </sheetView>
  </sheetViews>
  <sheetFormatPr defaultColWidth="12.5703125" defaultRowHeight="15.75" customHeight="1"/>
  <cols>
    <col min="2" max="2" width="9.85546875" customWidth="1"/>
    <col min="3" max="3" width="11" customWidth="1"/>
    <col min="4" max="4" width="18.85546875" customWidth="1"/>
    <col min="5" max="5" width="6.5703125" customWidth="1"/>
    <col min="6" max="6" width="30" customWidth="1"/>
    <col min="7" max="7" width="34.28515625" customWidth="1"/>
    <col min="8" max="8" width="13.42578125" customWidth="1"/>
    <col min="9" max="9" width="54.140625" customWidth="1"/>
    <col min="10" max="10" width="9.5703125" customWidth="1"/>
    <col min="11" max="11" width="8.7109375" customWidth="1"/>
    <col min="16" max="16" width="22.7109375" bestFit="1" customWidth="1"/>
    <col min="22" max="22" width="42.5703125" customWidth="1"/>
  </cols>
  <sheetData>
    <row r="1" spans="1:26" ht="15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" t="s">
        <v>14</v>
      </c>
      <c r="Q1" s="4" t="s">
        <v>190</v>
      </c>
      <c r="R1" s="4" t="s">
        <v>191</v>
      </c>
      <c r="S1" s="4" t="s">
        <v>192</v>
      </c>
      <c r="T1" s="1"/>
      <c r="U1" s="1"/>
      <c r="V1" s="28" t="s">
        <v>9</v>
      </c>
      <c r="W1" s="29" t="s">
        <v>190</v>
      </c>
      <c r="X1" s="29" t="s">
        <v>191</v>
      </c>
      <c r="Y1" s="29" t="s">
        <v>192</v>
      </c>
      <c r="Z1" s="1"/>
    </row>
    <row r="2" spans="1:26" ht="15.75" customHeight="1" thickBot="1">
      <c r="A2" s="1"/>
      <c r="B2" s="2" t="s">
        <v>6</v>
      </c>
      <c r="C2" s="2" t="s">
        <v>7</v>
      </c>
      <c r="D2" s="2" t="s">
        <v>2</v>
      </c>
      <c r="E2" s="2" t="s">
        <v>2</v>
      </c>
      <c r="F2" s="2" t="s">
        <v>8</v>
      </c>
      <c r="G2" s="2" t="s">
        <v>9</v>
      </c>
      <c r="H2" s="2" t="s">
        <v>10</v>
      </c>
      <c r="I2" s="2" t="s">
        <v>11</v>
      </c>
      <c r="J2" s="2" t="s">
        <v>12</v>
      </c>
      <c r="K2" s="2" t="s">
        <v>13</v>
      </c>
      <c r="L2" s="1"/>
      <c r="M2" s="1"/>
      <c r="N2" s="1"/>
      <c r="O2" s="1"/>
      <c r="P2" s="19" t="s">
        <v>169</v>
      </c>
      <c r="Q2" s="27">
        <f ca="1">IF(ISERROR(SEARCH(INDIRECT(CELL("address")),P2:P186)),0,1)</f>
        <v>1</v>
      </c>
      <c r="R2" s="27">
        <f ca="1">IF(Q2=0,"",COUNTIF($Q$2:Q2,1))</f>
        <v>1</v>
      </c>
      <c r="S2" s="27" t="str">
        <f ca="1">IFERROR(INDEX(P:P, MATCH(ROW(R1),R:R,0)),"")</f>
        <v>HQ-Technology Services</v>
      </c>
      <c r="T2" s="1"/>
      <c r="U2" s="1"/>
      <c r="V2" s="5" t="s">
        <v>18</v>
      </c>
      <c r="W2" s="1">
        <f t="shared" ref="W2:W23" ca="1" si="0">IF(ISERROR(SEARCH(INDIRECT(CELL("address")),V2:V115)),0,1)</f>
        <v>1</v>
      </c>
      <c r="X2" s="1">
        <f ca="1">IF(W2=0,"",COUNTIF($W$2:W2,1))</f>
        <v>1</v>
      </c>
      <c r="Y2" s="1" t="str">
        <f t="shared" ref="Y2:Y23" ca="1" si="1">IFERROR(INDEX(V:V, MATCH(ROW(X1),X:X,0)),"")</f>
        <v>Telecommunication charges</v>
      </c>
      <c r="Z2" s="1"/>
    </row>
    <row r="3" spans="1:26" ht="15.75" customHeight="1" thickBot="1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9" t="s">
        <v>189</v>
      </c>
      <c r="Q3" s="20">
        <f ca="1">IF(ISERROR(SEARCH(INDIRECT(CELL("address")),P3:P187)),0,1)</f>
        <v>1</v>
      </c>
      <c r="R3" s="20">
        <f ca="1">IF(Q3=0,"",COUNTIF($Q$2:Q3,1))</f>
        <v>2</v>
      </c>
      <c r="S3" s="20" t="str">
        <f ca="1">IFERROR(INDEX(P:P, MATCH(ROW(R2),R:R,0)),"")</f>
        <v>BD AND MARKETING</v>
      </c>
      <c r="T3" s="1"/>
      <c r="U3" s="1"/>
      <c r="V3" s="21"/>
      <c r="W3" s="1">
        <f t="shared" ca="1" si="0"/>
        <v>0</v>
      </c>
      <c r="X3" s="1" t="str">
        <f ca="1">IF(W3=0,"",COUNTIF($W$2:W3,1))</f>
        <v/>
      </c>
      <c r="Y3" s="1" t="str">
        <f t="shared" ca="1" si="1"/>
        <v/>
      </c>
      <c r="Z3" s="1"/>
    </row>
    <row r="4" spans="1:26" ht="15.75" customHeight="1" thickBot="1">
      <c r="A4" s="1"/>
      <c r="B4" s="1"/>
      <c r="C4" s="1"/>
      <c r="D4" s="4" t="s">
        <v>14</v>
      </c>
      <c r="E4" s="1"/>
      <c r="F4" s="1"/>
      <c r="G4" s="2" t="s">
        <v>9</v>
      </c>
      <c r="H4" s="1"/>
      <c r="I4" s="1" t="s">
        <v>11</v>
      </c>
      <c r="J4" s="1" t="s">
        <v>12</v>
      </c>
      <c r="K4" s="1"/>
      <c r="L4" s="1"/>
      <c r="M4" s="1"/>
      <c r="N4" s="1"/>
      <c r="O4" s="1"/>
      <c r="P4" s="19" t="s">
        <v>95</v>
      </c>
      <c r="Q4" s="20">
        <f ca="1">IF(ISERROR(SEARCH(INDIRECT(CELL("address")),P4:P188)),0,1)</f>
        <v>1</v>
      </c>
      <c r="R4" s="20">
        <f ca="1">IF(Q4=0,"",COUNTIF($Q$2:Q4,1))</f>
        <v>3</v>
      </c>
      <c r="S4" s="20" t="str">
        <f ca="1">IFERROR(INDEX(P:P, MATCH(ROW(R3),R:R,0)),"")</f>
        <v>HQ-HR Recruitment</v>
      </c>
      <c r="T4" s="1"/>
      <c r="U4" s="1"/>
      <c r="V4" s="22"/>
      <c r="W4" s="1">
        <f t="shared" ca="1" si="0"/>
        <v>0</v>
      </c>
      <c r="X4" s="1" t="str">
        <f ca="1">IF(W4=0,"",COUNTIF($W$2:W4,1))</f>
        <v/>
      </c>
      <c r="Y4" s="1" t="str">
        <f t="shared" ca="1" si="1"/>
        <v/>
      </c>
      <c r="Z4" s="1"/>
    </row>
    <row r="5" spans="1:26" ht="15.75" customHeight="1" thickBot="1">
      <c r="A5" s="1"/>
      <c r="B5" s="3" t="s">
        <v>15</v>
      </c>
      <c r="C5" s="3" t="s">
        <v>16</v>
      </c>
      <c r="D5" s="19" t="s">
        <v>169</v>
      </c>
      <c r="E5" s="1"/>
      <c r="F5" s="5" t="s">
        <v>18</v>
      </c>
      <c r="G5" s="6" t="s">
        <v>19</v>
      </c>
      <c r="H5" s="3" t="s">
        <v>20</v>
      </c>
      <c r="I5" s="7" t="s">
        <v>21</v>
      </c>
      <c r="J5" s="7">
        <v>7931</v>
      </c>
      <c r="K5" s="3" t="s">
        <v>22</v>
      </c>
      <c r="L5" s="1"/>
      <c r="M5" s="1"/>
      <c r="N5" s="1"/>
      <c r="O5" s="1"/>
      <c r="P5" s="19" t="s">
        <v>100</v>
      </c>
      <c r="Q5" s="20">
        <f ca="1">IF(ISERROR(SEARCH(INDIRECT(CELL("address")),P5:P189)),0,1)</f>
        <v>1</v>
      </c>
      <c r="R5" s="20">
        <f ca="1">IF(Q5=0,"",COUNTIF($Q$2:Q5,1))</f>
        <v>4</v>
      </c>
      <c r="S5" s="20" t="str">
        <f ca="1">IFERROR(INDEX(P:P, MATCH(ROW(R4),R:R,0)),"")</f>
        <v>HQ-Procurement</v>
      </c>
      <c r="T5" s="1"/>
      <c r="U5" s="1"/>
      <c r="V5" s="23"/>
      <c r="W5" s="1">
        <f t="shared" ca="1" si="0"/>
        <v>0</v>
      </c>
      <c r="X5" s="1" t="str">
        <f ca="1">IF(W5=0,"",COUNTIF($W$2:W5,1))</f>
        <v/>
      </c>
      <c r="Y5" s="1" t="str">
        <f t="shared" ca="1" si="1"/>
        <v/>
      </c>
      <c r="Z5" s="1"/>
    </row>
    <row r="6" spans="1:26" ht="15.75" customHeight="1" thickBot="1">
      <c r="A6" s="1"/>
      <c r="B6" s="3" t="s">
        <v>23</v>
      </c>
      <c r="C6" s="3" t="s">
        <v>24</v>
      </c>
      <c r="D6" s="19" t="s">
        <v>189</v>
      </c>
      <c r="E6" s="1"/>
      <c r="F6" s="1"/>
      <c r="G6" s="8" t="s">
        <v>26</v>
      </c>
      <c r="H6" s="3" t="s">
        <v>27</v>
      </c>
      <c r="I6" s="7" t="s">
        <v>28</v>
      </c>
      <c r="J6" s="7">
        <v>7047</v>
      </c>
      <c r="K6" s="3" t="s">
        <v>29</v>
      </c>
      <c r="L6" s="1"/>
      <c r="M6" s="1"/>
      <c r="N6" s="1"/>
      <c r="O6" s="1"/>
      <c r="P6" s="19" t="s">
        <v>187</v>
      </c>
      <c r="Q6" s="20">
        <f ca="1">IF(ISERROR(SEARCH(INDIRECT(CELL("address")),P6:P190)),0,1)</f>
        <v>1</v>
      </c>
      <c r="R6" s="20">
        <f ca="1">IF(Q6=0,"",COUNTIF($Q$2:Q6,1))</f>
        <v>5</v>
      </c>
      <c r="S6" s="20" t="str">
        <f ca="1">IFERROR(INDEX(P:P, MATCH(ROW(R5),R:R,0)),"")</f>
        <v>HQ HEALTHCARE</v>
      </c>
      <c r="T6" s="1"/>
      <c r="U6" s="1"/>
      <c r="V6" s="21"/>
      <c r="W6" s="1">
        <f t="shared" ca="1" si="0"/>
        <v>0</v>
      </c>
      <c r="X6" s="1" t="str">
        <f ca="1">IF(W6=0,"",COUNTIF($W$2:W6,1))</f>
        <v/>
      </c>
      <c r="Y6" s="1" t="str">
        <f t="shared" ca="1" si="1"/>
        <v/>
      </c>
      <c r="Z6" s="1"/>
    </row>
    <row r="7" spans="1:26" ht="15.75" customHeight="1" thickBot="1">
      <c r="A7" s="1"/>
      <c r="B7" s="1"/>
      <c r="C7" s="1"/>
      <c r="D7" s="19" t="s">
        <v>95</v>
      </c>
      <c r="E7" s="1"/>
      <c r="F7" s="1"/>
      <c r="G7" s="6" t="s">
        <v>31</v>
      </c>
      <c r="H7" s="3" t="s">
        <v>32</v>
      </c>
      <c r="I7" s="7" t="s">
        <v>33</v>
      </c>
      <c r="J7" s="7">
        <v>7065</v>
      </c>
      <c r="K7" s="3" t="s">
        <v>34</v>
      </c>
      <c r="L7" s="1"/>
      <c r="M7" s="1"/>
      <c r="N7" s="1"/>
      <c r="O7" s="1"/>
      <c r="P7" s="19" t="s">
        <v>170</v>
      </c>
      <c r="Q7" s="20">
        <f ca="1">IF(ISERROR(SEARCH(INDIRECT(CELL("address")),P7:P191)),0,1)</f>
        <v>1</v>
      </c>
      <c r="R7" s="20">
        <f ca="1">IF(Q7=0,"",COUNTIF($Q$2:Q7,1))</f>
        <v>6</v>
      </c>
      <c r="S7" s="20" t="str">
        <f ca="1">IFERROR(INDEX(P:P, MATCH(ROW(R6),R:R,0)),"")</f>
        <v>HQ-HSE</v>
      </c>
      <c r="T7" s="1"/>
      <c r="U7" s="1"/>
      <c r="V7" s="22"/>
      <c r="W7" s="1">
        <f t="shared" ca="1" si="0"/>
        <v>0</v>
      </c>
      <c r="X7" s="1" t="str">
        <f ca="1">IF(W7=0,"",COUNTIF($W$2:W7,1))</f>
        <v/>
      </c>
      <c r="Y7" s="1" t="str">
        <f t="shared" ca="1" si="1"/>
        <v/>
      </c>
      <c r="Z7" s="1"/>
    </row>
    <row r="8" spans="1:26" ht="15.75" customHeight="1" thickBot="1">
      <c r="A8" s="1"/>
      <c r="B8" s="1"/>
      <c r="C8" s="1"/>
      <c r="D8" s="19" t="s">
        <v>100</v>
      </c>
      <c r="E8" s="1"/>
      <c r="F8" s="1"/>
      <c r="G8" s="8" t="s">
        <v>36</v>
      </c>
      <c r="H8" s="3" t="s">
        <v>37</v>
      </c>
      <c r="I8" s="7" t="s">
        <v>38</v>
      </c>
      <c r="J8" s="7">
        <v>7083</v>
      </c>
      <c r="K8" s="1"/>
      <c r="L8" s="1"/>
      <c r="M8" s="1"/>
      <c r="N8" s="1"/>
      <c r="O8" s="1"/>
      <c r="P8" s="19" t="s">
        <v>178</v>
      </c>
      <c r="Q8" s="20">
        <f ca="1">IF(ISERROR(SEARCH(INDIRECT(CELL("address")),P8:P192)),0,1)</f>
        <v>1</v>
      </c>
      <c r="R8" s="20">
        <f ca="1">IF(Q8=0,"",COUNTIF($Q$2:Q8,1))</f>
        <v>7</v>
      </c>
      <c r="S8" s="20" t="str">
        <f ca="1">IFERROR(INDEX(P:P, MATCH(ROW(R7),R:R,0)),"")</f>
        <v>STORE</v>
      </c>
      <c r="T8" s="1"/>
      <c r="U8" s="1"/>
      <c r="V8" s="24"/>
      <c r="W8" s="1">
        <f t="shared" ca="1" si="0"/>
        <v>0</v>
      </c>
      <c r="X8" s="1" t="str">
        <f ca="1">IF(W8=0,"",COUNTIF($W$2:W8,1))</f>
        <v/>
      </c>
      <c r="Y8" s="1" t="str">
        <f t="shared" ca="1" si="1"/>
        <v/>
      </c>
      <c r="Z8" s="1"/>
    </row>
    <row r="9" spans="1:26" ht="15.75" customHeight="1" thickBot="1">
      <c r="A9" s="1"/>
      <c r="B9" s="1"/>
      <c r="C9" s="1"/>
      <c r="D9" s="19" t="s">
        <v>187</v>
      </c>
      <c r="E9" s="1"/>
      <c r="F9" s="1"/>
      <c r="G9" s="8" t="s">
        <v>40</v>
      </c>
      <c r="H9" s="3" t="s">
        <v>41</v>
      </c>
      <c r="I9" s="7" t="s">
        <v>42</v>
      </c>
      <c r="J9" s="7">
        <v>7108</v>
      </c>
      <c r="K9" s="1"/>
      <c r="L9" s="1"/>
      <c r="M9" s="1"/>
      <c r="N9" s="1"/>
      <c r="O9" s="1"/>
      <c r="P9" s="19" t="s">
        <v>80</v>
      </c>
      <c r="Q9" s="20">
        <f ca="1">IF(ISERROR(SEARCH(INDIRECT(CELL("address")),P9:P193)),0,1)</f>
        <v>1</v>
      </c>
      <c r="R9" s="20">
        <f ca="1">IF(Q9=0,"",COUNTIF($Q$2:Q9,1))</f>
        <v>8</v>
      </c>
      <c r="S9" s="20" t="str">
        <f ca="1">IFERROR(INDEX(P:P, MATCH(ROW(R8),R:R,0)),"")</f>
        <v>General</v>
      </c>
      <c r="T9" s="1"/>
      <c r="U9" s="1"/>
      <c r="V9" s="23"/>
      <c r="W9" s="1">
        <f t="shared" ca="1" si="0"/>
        <v>0</v>
      </c>
      <c r="X9" s="1" t="str">
        <f ca="1">IF(W9=0,"",COUNTIF($W$2:W9,1))</f>
        <v/>
      </c>
      <c r="Y9" s="1" t="str">
        <f t="shared" ca="1" si="1"/>
        <v/>
      </c>
      <c r="Z9" s="1"/>
    </row>
    <row r="10" spans="1:26" ht="15.75" customHeight="1" thickBot="1">
      <c r="A10" s="1"/>
      <c r="B10" s="1"/>
      <c r="C10" s="1"/>
      <c r="D10" s="19" t="s">
        <v>170</v>
      </c>
      <c r="E10" s="1"/>
      <c r="F10" s="1"/>
      <c r="G10" s="8" t="s">
        <v>44</v>
      </c>
      <c r="H10" s="1"/>
      <c r="I10" s="7" t="s">
        <v>45</v>
      </c>
      <c r="J10" s="7">
        <v>7126</v>
      </c>
      <c r="K10" s="1"/>
      <c r="L10" s="1"/>
      <c r="M10" s="1"/>
      <c r="N10" s="1"/>
      <c r="O10" s="1"/>
      <c r="P10" s="19" t="s">
        <v>93</v>
      </c>
      <c r="Q10" s="20">
        <f ca="1">IF(ISERROR(SEARCH(INDIRECT(CELL("address")),P10:P194)),0,1)</f>
        <v>1</v>
      </c>
      <c r="R10" s="20">
        <f ca="1">IF(Q10=0,"",COUNTIF($Q$2:Q10,1))</f>
        <v>9</v>
      </c>
      <c r="S10" s="20" t="str">
        <f ca="1">IFERROR(INDEX(P:P, MATCH(ROW(R9),R:R,0)),"")</f>
        <v>HQ-Finance</v>
      </c>
      <c r="T10" s="1"/>
      <c r="U10" s="1"/>
      <c r="V10" s="23"/>
      <c r="W10" s="1">
        <f t="shared" ca="1" si="0"/>
        <v>0</v>
      </c>
      <c r="X10" s="1" t="str">
        <f ca="1">IF(W10=0,"",COUNTIF($W$2:W10,1))</f>
        <v/>
      </c>
      <c r="Y10" s="1" t="str">
        <f t="shared" ca="1" si="1"/>
        <v/>
      </c>
      <c r="Z10" s="1"/>
    </row>
    <row r="11" spans="1:26" ht="15.75" customHeight="1" thickBot="1">
      <c r="A11" s="1"/>
      <c r="B11" s="1"/>
      <c r="C11" s="1"/>
      <c r="D11" s="19" t="s">
        <v>178</v>
      </c>
      <c r="E11" s="1"/>
      <c r="F11" s="1"/>
      <c r="G11" s="6" t="s">
        <v>47</v>
      </c>
      <c r="H11" s="1"/>
      <c r="I11" s="7" t="s">
        <v>48</v>
      </c>
      <c r="J11" s="7">
        <v>7418</v>
      </c>
      <c r="K11" s="1"/>
      <c r="L11" s="1"/>
      <c r="M11" s="1"/>
      <c r="N11" s="1"/>
      <c r="O11" s="1"/>
      <c r="P11" s="19" t="s">
        <v>188</v>
      </c>
      <c r="Q11" s="20">
        <f ca="1">IF(ISERROR(SEARCH(INDIRECT(CELL("address")),P11:P195)),0,1)</f>
        <v>1</v>
      </c>
      <c r="R11" s="20">
        <f ca="1">IF(Q11=0,"",COUNTIF($Q$2:Q11,1))</f>
        <v>10</v>
      </c>
      <c r="S11" s="20" t="str">
        <f ca="1">IFERROR(INDEX(P:P, MATCH(ROW(R10),R:R,0)),"")</f>
        <v>HQ NON-HEALTHCARE</v>
      </c>
      <c r="T11" s="1"/>
      <c r="U11" s="1"/>
      <c r="V11" s="24"/>
      <c r="W11" s="1">
        <f t="shared" ca="1" si="0"/>
        <v>0</v>
      </c>
      <c r="X11" s="1" t="str">
        <f ca="1">IF(W11=0,"",COUNTIF($W$2:W11,1))</f>
        <v/>
      </c>
      <c r="Y11" s="1" t="str">
        <f t="shared" ca="1" si="1"/>
        <v/>
      </c>
      <c r="Z11" s="1"/>
    </row>
    <row r="12" spans="1:26" ht="15.75" customHeight="1" thickBot="1">
      <c r="A12" s="1"/>
      <c r="B12" s="1"/>
      <c r="C12" s="1"/>
      <c r="D12" s="19" t="s">
        <v>80</v>
      </c>
      <c r="E12" s="1"/>
      <c r="F12" s="1"/>
      <c r="G12" s="8" t="s">
        <v>50</v>
      </c>
      <c r="H12" s="1"/>
      <c r="I12" s="7" t="s">
        <v>51</v>
      </c>
      <c r="J12" s="7">
        <v>9353</v>
      </c>
      <c r="K12" s="1"/>
      <c r="L12" s="1"/>
      <c r="M12" s="1"/>
      <c r="N12" s="1"/>
      <c r="O12" s="1"/>
      <c r="P12" s="19" t="s">
        <v>97</v>
      </c>
      <c r="Q12" s="20">
        <f ca="1">IF(ISERROR(SEARCH(INDIRECT(CELL("address")),P12:P196)),0,1)</f>
        <v>1</v>
      </c>
      <c r="R12" s="20">
        <f ca="1">IF(Q12=0,"",COUNTIF($Q$2:Q12,1))</f>
        <v>11</v>
      </c>
      <c r="S12" s="20" t="str">
        <f ca="1">IFERROR(INDEX(P:P, MATCH(ROW(R11),R:R,0)),"")</f>
        <v>HQ-HR Support Services</v>
      </c>
      <c r="T12" s="1"/>
      <c r="U12" s="1"/>
      <c r="V12" s="23"/>
      <c r="W12" s="1">
        <f t="shared" ca="1" si="0"/>
        <v>0</v>
      </c>
      <c r="X12" s="1" t="str">
        <f ca="1">IF(W12=0,"",COUNTIF($W$2:W12,1))</f>
        <v/>
      </c>
      <c r="Y12" s="1" t="str">
        <f t="shared" ca="1" si="1"/>
        <v/>
      </c>
      <c r="Z12" s="1"/>
    </row>
    <row r="13" spans="1:26" ht="15.75" customHeight="1" thickBot="1">
      <c r="A13" s="1"/>
      <c r="B13" s="1"/>
      <c r="C13" s="1"/>
      <c r="D13" s="19" t="s">
        <v>93</v>
      </c>
      <c r="E13" s="1"/>
      <c r="F13" s="1"/>
      <c r="G13" s="8" t="s">
        <v>53</v>
      </c>
      <c r="H13" s="1"/>
      <c r="I13" s="7" t="s">
        <v>54</v>
      </c>
      <c r="J13" s="7">
        <v>7986</v>
      </c>
      <c r="K13" s="1"/>
      <c r="L13" s="1"/>
      <c r="M13" s="1"/>
      <c r="N13" s="1"/>
      <c r="O13" s="1"/>
      <c r="P13" s="19" t="s">
        <v>102</v>
      </c>
      <c r="Q13" s="20">
        <f ca="1">IF(ISERROR(SEARCH(INDIRECT(CELL("address")),P13:P197)),0,1)</f>
        <v>1</v>
      </c>
      <c r="R13" s="20">
        <f ca="1">IF(Q13=0,"",COUNTIF($Q$2:Q13,1))</f>
        <v>12</v>
      </c>
      <c r="S13" s="20" t="str">
        <f ca="1">IFERROR(INDEX(P:P, MATCH(ROW(R12),R:R,0)),"")</f>
        <v>HQ-Tech Services</v>
      </c>
      <c r="T13" s="1"/>
      <c r="U13" s="1"/>
      <c r="V13" s="23"/>
      <c r="W13" s="1">
        <f t="shared" ca="1" si="0"/>
        <v>0</v>
      </c>
      <c r="X13" s="1" t="str">
        <f ca="1">IF(W13=0,"",COUNTIF($W$2:W13,1))</f>
        <v/>
      </c>
      <c r="Y13" s="1" t="str">
        <f t="shared" ca="1" si="1"/>
        <v/>
      </c>
      <c r="Z13" s="1"/>
    </row>
    <row r="14" spans="1:26" ht="15.75" customHeight="1" thickBot="1">
      <c r="A14" s="1"/>
      <c r="B14" s="1"/>
      <c r="C14" s="1"/>
      <c r="D14" s="19" t="s">
        <v>188</v>
      </c>
      <c r="E14" s="1"/>
      <c r="F14" s="1"/>
      <c r="G14" s="6" t="s">
        <v>56</v>
      </c>
      <c r="H14" s="1"/>
      <c r="I14" s="9" t="s">
        <v>57</v>
      </c>
      <c r="J14" s="9">
        <v>7214</v>
      </c>
      <c r="K14" s="1"/>
      <c r="L14" s="1"/>
      <c r="M14" s="1"/>
      <c r="N14" s="1"/>
      <c r="O14" s="1"/>
      <c r="P14" s="19" t="s">
        <v>179</v>
      </c>
      <c r="Q14" s="20">
        <f ca="1">IF(ISERROR(SEARCH(INDIRECT(CELL("address")),P14:P198)),0,1)</f>
        <v>1</v>
      </c>
      <c r="R14" s="20">
        <f ca="1">IF(Q14=0,"",COUNTIF($Q$2:Q14,1))</f>
        <v>13</v>
      </c>
      <c r="S14" s="20" t="str">
        <f ca="1">IFERROR(INDEX(P:P, MATCH(ROW(R13),R:R,0)),"")</f>
        <v>HQ-HR L &amp; D</v>
      </c>
      <c r="T14" s="1"/>
      <c r="U14" s="1"/>
      <c r="V14" s="23"/>
      <c r="W14" s="1">
        <f t="shared" ca="1" si="0"/>
        <v>0</v>
      </c>
      <c r="X14" s="1" t="str">
        <f ca="1">IF(W14=0,"",COUNTIF($W$2:W14,1))</f>
        <v/>
      </c>
      <c r="Y14" s="1" t="str">
        <f t="shared" ca="1" si="1"/>
        <v/>
      </c>
      <c r="Z14" s="1"/>
    </row>
    <row r="15" spans="1:26" ht="15.75" customHeight="1" thickBot="1">
      <c r="A15" s="1"/>
      <c r="B15" s="1"/>
      <c r="C15" s="1"/>
      <c r="D15" s="19" t="s">
        <v>97</v>
      </c>
      <c r="E15" s="1"/>
      <c r="F15" s="1"/>
      <c r="G15" s="8" t="s">
        <v>59</v>
      </c>
      <c r="H15" s="1"/>
      <c r="I15" s="9" t="s">
        <v>60</v>
      </c>
      <c r="J15" s="9">
        <v>9201</v>
      </c>
      <c r="K15" s="1"/>
      <c r="L15" s="1"/>
      <c r="M15" s="1"/>
      <c r="N15" s="1"/>
      <c r="O15" s="1"/>
      <c r="P15" s="19" t="s">
        <v>61</v>
      </c>
      <c r="Q15" s="20">
        <f ca="1">IF(ISERROR(SEARCH(INDIRECT(CELL("address")),P15:P199)),0,1)</f>
        <v>1</v>
      </c>
      <c r="R15" s="20">
        <f ca="1">IF(Q15=0,"",COUNTIF($Q$2:Q15,1))</f>
        <v>14</v>
      </c>
      <c r="S15" s="20" t="str">
        <f ca="1">IFERROR(INDEX(P:P, MATCH(ROW(R14),R:R,0)),"")</f>
        <v>CGH UET</v>
      </c>
      <c r="T15" s="1"/>
      <c r="U15" s="1"/>
      <c r="V15" s="24"/>
      <c r="W15" s="1">
        <f t="shared" ca="1" si="0"/>
        <v>0</v>
      </c>
      <c r="X15" s="1" t="str">
        <f ca="1">IF(W15=0,"",COUNTIF($W$2:W15,1))</f>
        <v/>
      </c>
      <c r="Y15" s="1" t="str">
        <f t="shared" ca="1" si="1"/>
        <v/>
      </c>
      <c r="Z15" s="1"/>
    </row>
    <row r="16" spans="1:26" ht="15.75" customHeight="1" thickBot="1">
      <c r="A16" s="1"/>
      <c r="B16" s="1"/>
      <c r="C16" s="1"/>
      <c r="D16" s="19" t="s">
        <v>102</v>
      </c>
      <c r="E16" s="1"/>
      <c r="F16" s="1"/>
      <c r="G16" s="8" t="s">
        <v>62</v>
      </c>
      <c r="H16" s="1"/>
      <c r="I16" s="7" t="s">
        <v>63</v>
      </c>
      <c r="J16" s="7">
        <v>8606</v>
      </c>
      <c r="K16" s="1"/>
      <c r="L16" s="1"/>
      <c r="M16" s="1"/>
      <c r="N16" s="1"/>
      <c r="O16" s="1"/>
      <c r="P16" s="19" t="s">
        <v>58</v>
      </c>
      <c r="Q16" s="20">
        <f ca="1">IF(ISERROR(SEARCH(INDIRECT(CELL("address")),P16:P200)),0,1)</f>
        <v>1</v>
      </c>
      <c r="R16" s="20">
        <f ca="1">IF(Q16=0,"",COUNTIF($Q$2:Q16,1))</f>
        <v>15</v>
      </c>
      <c r="S16" s="20" t="str">
        <f ca="1">IFERROR(INDEX(P:P, MATCH(ROW(R15),R:R,0)),"")</f>
        <v>CGH HSK</v>
      </c>
      <c r="T16" s="1"/>
      <c r="U16" s="1"/>
      <c r="V16" s="23"/>
      <c r="W16" s="1">
        <f t="shared" ca="1" si="0"/>
        <v>0</v>
      </c>
      <c r="X16" s="1" t="str">
        <f ca="1">IF(W16=0,"",COUNTIF($W$2:W16,1))</f>
        <v/>
      </c>
      <c r="Y16" s="1" t="str">
        <f t="shared" ca="1" si="1"/>
        <v/>
      </c>
      <c r="Z16" s="1"/>
    </row>
    <row r="17" spans="1:26" ht="15.75" customHeight="1" thickBot="1">
      <c r="A17" s="1"/>
      <c r="B17" s="1"/>
      <c r="C17" s="1"/>
      <c r="D17" s="19" t="s">
        <v>179</v>
      </c>
      <c r="E17" s="1"/>
      <c r="F17" s="1"/>
      <c r="G17" s="8" t="s">
        <v>65</v>
      </c>
      <c r="H17" s="1"/>
      <c r="I17" s="7" t="s">
        <v>66</v>
      </c>
      <c r="J17" s="7">
        <v>7135</v>
      </c>
      <c r="K17" s="1"/>
      <c r="L17" s="1"/>
      <c r="M17" s="1"/>
      <c r="N17" s="1"/>
      <c r="O17" s="1"/>
      <c r="P17" s="19" t="s">
        <v>117</v>
      </c>
      <c r="Q17" s="20">
        <f ca="1">IF(ISERROR(SEARCH(INDIRECT(CELL("address")),P17:P201)),0,1)</f>
        <v>1</v>
      </c>
      <c r="R17" s="20">
        <f ca="1">IF(Q17=0,"",COUNTIF($Q$2:Q17,1))</f>
        <v>16</v>
      </c>
      <c r="S17" s="20" t="str">
        <f ca="1">IFERROR(INDEX(P:P, MATCH(ROW(R16),R:R,0)),"")</f>
        <v>KKWCH</v>
      </c>
      <c r="T17" s="1"/>
      <c r="U17" s="1"/>
      <c r="V17" s="21"/>
      <c r="W17" s="1">
        <f t="shared" ca="1" si="0"/>
        <v>0</v>
      </c>
      <c r="X17" s="1" t="str">
        <f ca="1">IF(W17=0,"",COUNTIF($W$2:W17,1))</f>
        <v/>
      </c>
      <c r="Y17" s="1" t="str">
        <f t="shared" ca="1" si="1"/>
        <v/>
      </c>
      <c r="Z17" s="1"/>
    </row>
    <row r="18" spans="1:26" ht="15.75" customHeight="1" thickBot="1">
      <c r="A18" s="1"/>
      <c r="B18" s="1"/>
      <c r="C18" s="1"/>
      <c r="D18" s="19" t="s">
        <v>61</v>
      </c>
      <c r="E18" s="1"/>
      <c r="F18" s="1"/>
      <c r="G18" s="6" t="s">
        <v>68</v>
      </c>
      <c r="H18" s="1"/>
      <c r="I18" s="7" t="s">
        <v>69</v>
      </c>
      <c r="J18" s="7">
        <v>7171</v>
      </c>
      <c r="K18" s="1"/>
      <c r="L18" s="1"/>
      <c r="M18" s="1"/>
      <c r="N18" s="1"/>
      <c r="O18" s="1"/>
      <c r="P18" s="19" t="s">
        <v>171</v>
      </c>
      <c r="Q18" s="20">
        <f ca="1">IF(ISERROR(SEARCH(INDIRECT(CELL("address")),P18:P202)),0,1)</f>
        <v>1</v>
      </c>
      <c r="R18" s="20">
        <f ca="1">IF(Q18=0,"",COUNTIF($Q$2:Q18,1))</f>
        <v>17</v>
      </c>
      <c r="S18" s="20" t="str">
        <f ca="1">IFERROR(INDEX(P:P, MATCH(ROW(R17),R:R,0)),"")</f>
        <v>SL-ELDE</v>
      </c>
      <c r="T18" s="1"/>
      <c r="U18" s="1"/>
      <c r="V18" s="23"/>
      <c r="W18" s="1">
        <f t="shared" ca="1" si="0"/>
        <v>0</v>
      </c>
      <c r="X18" s="1" t="str">
        <f ca="1">IF(W18=0,"",COUNTIF($W$2:W18,1))</f>
        <v/>
      </c>
      <c r="Y18" s="1" t="str">
        <f t="shared" ca="1" si="1"/>
        <v/>
      </c>
      <c r="Z18" s="1"/>
    </row>
    <row r="19" spans="1:26" ht="15.75" customHeight="1" thickBot="1">
      <c r="A19" s="1"/>
      <c r="B19" s="1"/>
      <c r="C19" s="1"/>
      <c r="D19" s="19" t="s">
        <v>58</v>
      </c>
      <c r="E19" s="1"/>
      <c r="F19" s="1"/>
      <c r="G19" s="8" t="s">
        <v>18</v>
      </c>
      <c r="H19" s="1"/>
      <c r="I19" s="7" t="s">
        <v>70</v>
      </c>
      <c r="J19" s="7">
        <v>7463</v>
      </c>
      <c r="K19" s="1"/>
      <c r="L19" s="1"/>
      <c r="M19" s="1"/>
      <c r="N19" s="1"/>
      <c r="O19" s="1"/>
      <c r="P19" s="19" t="s">
        <v>52</v>
      </c>
      <c r="Q19" s="20">
        <f ca="1">IF(ISERROR(SEARCH(INDIRECT(CELL("address")),P19:P203)),0,1)</f>
        <v>1</v>
      </c>
      <c r="R19" s="20">
        <f ca="1">IF(Q19=0,"",COUNTIF($Q$2:Q19,1))</f>
        <v>18</v>
      </c>
      <c r="S19" s="20" t="str">
        <f ca="1">IFERROR(INDEX(P:P, MATCH(ROW(R18),R:R,0)),"")</f>
        <v>BVH</v>
      </c>
      <c r="T19" s="1"/>
      <c r="U19" s="1"/>
      <c r="V19" s="23"/>
      <c r="W19" s="1">
        <f t="shared" ca="1" si="0"/>
        <v>0</v>
      </c>
      <c r="X19" s="1" t="str">
        <f ca="1">IF(W19=0,"",COUNTIF($W$2:W19,1))</f>
        <v/>
      </c>
      <c r="Y19" s="1" t="str">
        <f t="shared" ca="1" si="1"/>
        <v/>
      </c>
      <c r="Z19" s="1"/>
    </row>
    <row r="20" spans="1:26" ht="15.75" customHeight="1" thickBot="1">
      <c r="A20" s="1"/>
      <c r="B20" s="1"/>
      <c r="C20" s="1"/>
      <c r="D20" s="19" t="s">
        <v>117</v>
      </c>
      <c r="E20" s="1"/>
      <c r="F20" s="1"/>
      <c r="G20" s="8" t="s">
        <v>72</v>
      </c>
      <c r="H20" s="1"/>
      <c r="I20" s="7" t="s">
        <v>73</v>
      </c>
      <c r="J20" s="7">
        <v>7737</v>
      </c>
      <c r="K20" s="1"/>
      <c r="L20" s="1"/>
      <c r="M20" s="1"/>
      <c r="N20" s="1"/>
      <c r="O20" s="1"/>
      <c r="P20" s="19" t="s">
        <v>140</v>
      </c>
      <c r="Q20" s="20">
        <f ca="1">IF(ISERROR(SEARCH(INDIRECT(CELL("address")),P20:P204)),0,1)</f>
        <v>1</v>
      </c>
      <c r="R20" s="20">
        <f ca="1">IF(Q20=0,"",COUNTIF($Q$2:Q20,1))</f>
        <v>19</v>
      </c>
      <c r="S20" s="20" t="str">
        <f ca="1">IFERROR(INDEX(P:P, MATCH(ROW(R19),R:R,0)),"")</f>
        <v>NUH UET</v>
      </c>
      <c r="T20" s="1"/>
      <c r="U20" s="1"/>
      <c r="V20" s="24"/>
      <c r="W20" s="1">
        <f t="shared" ca="1" si="0"/>
        <v>0</v>
      </c>
      <c r="X20" s="1" t="str">
        <f ca="1">IF(W20=0,"",COUNTIF($W$2:W20,1))</f>
        <v/>
      </c>
      <c r="Y20" s="1" t="str">
        <f t="shared" ca="1" si="1"/>
        <v/>
      </c>
      <c r="Z20" s="1"/>
    </row>
    <row r="21" spans="1:26" ht="15.75" customHeight="1" thickBot="1">
      <c r="A21" s="1"/>
      <c r="B21" s="1"/>
      <c r="C21" s="1"/>
      <c r="D21" s="19" t="s">
        <v>171</v>
      </c>
      <c r="E21" s="1"/>
      <c r="F21" s="1"/>
      <c r="G21" s="6" t="s">
        <v>75</v>
      </c>
      <c r="H21" s="1"/>
      <c r="I21" s="7" t="s">
        <v>76</v>
      </c>
      <c r="J21" s="7">
        <v>7764</v>
      </c>
      <c r="K21" s="1"/>
      <c r="L21" s="1"/>
      <c r="M21" s="1"/>
      <c r="N21" s="1"/>
      <c r="O21" s="1"/>
      <c r="P21" s="19" t="s">
        <v>165</v>
      </c>
      <c r="Q21" s="20">
        <f ca="1">IF(ISERROR(SEARCH(INDIRECT(CELL("address")),P21:P205)),0,1)</f>
        <v>1</v>
      </c>
      <c r="R21" s="20">
        <f ca="1">IF(Q21=0,"",COUNTIF($Q$2:Q21,1))</f>
        <v>20</v>
      </c>
      <c r="S21" s="20" t="str">
        <f ca="1">IFERROR(INDEX(P:P, MATCH(ROW(R20),R:R,0)),"")</f>
        <v>TTSH UET</v>
      </c>
      <c r="T21" s="1"/>
      <c r="U21" s="1"/>
      <c r="V21" s="23"/>
      <c r="W21" s="1">
        <f t="shared" ca="1" si="0"/>
        <v>0</v>
      </c>
      <c r="X21" s="1" t="str">
        <f ca="1">IF(W21=0,"",COUNTIF($W$2:W21,1))</f>
        <v/>
      </c>
      <c r="Y21" s="1" t="str">
        <f t="shared" ca="1" si="1"/>
        <v/>
      </c>
      <c r="Z21" s="1"/>
    </row>
    <row r="22" spans="1:26" ht="15.75" customHeight="1">
      <c r="A22" s="1"/>
      <c r="B22" s="1"/>
      <c r="C22" s="1"/>
      <c r="D22" s="19" t="s">
        <v>52</v>
      </c>
      <c r="E22" s="1"/>
      <c r="F22" s="1"/>
      <c r="G22" s="8" t="s">
        <v>78</v>
      </c>
      <c r="H22" s="1"/>
      <c r="I22" s="7" t="s">
        <v>79</v>
      </c>
      <c r="J22" s="7">
        <v>7287</v>
      </c>
      <c r="K22" s="1"/>
      <c r="L22" s="1"/>
      <c r="M22" s="1"/>
      <c r="N22" s="1"/>
      <c r="O22" s="1"/>
      <c r="P22" s="19" t="s">
        <v>46</v>
      </c>
      <c r="Q22" s="20">
        <f ca="1">IF(ISERROR(SEARCH(INDIRECT(CELL("address")),P22:P206)),0,1)</f>
        <v>1</v>
      </c>
      <c r="R22" s="20">
        <f ca="1">IF(Q22=0,"",COUNTIF($Q$2:Q22,1))</f>
        <v>21</v>
      </c>
      <c r="S22" s="20" t="str">
        <f ca="1">IFERROR(INDEX(P:P, MATCH(ROW(R21),R:R,0)),"")</f>
        <v>BMH</v>
      </c>
      <c r="T22" s="1"/>
      <c r="U22" s="1"/>
      <c r="V22" s="25"/>
      <c r="W22" s="1">
        <f t="shared" ca="1" si="0"/>
        <v>0</v>
      </c>
      <c r="X22" s="1" t="str">
        <f ca="1">IF(W22=0,"",COUNTIF($W$2:W22,1))</f>
        <v/>
      </c>
      <c r="Y22" s="1" t="str">
        <f t="shared" ca="1" si="1"/>
        <v/>
      </c>
      <c r="Z22" s="1"/>
    </row>
    <row r="23" spans="1:26" ht="15.75" customHeight="1">
      <c r="A23" s="1"/>
      <c r="B23" s="1"/>
      <c r="C23" s="1"/>
      <c r="D23" s="19" t="s">
        <v>140</v>
      </c>
      <c r="E23" s="1"/>
      <c r="F23" s="1"/>
      <c r="G23" s="8" t="s">
        <v>81</v>
      </c>
      <c r="H23" s="1"/>
      <c r="I23" s="9" t="s">
        <v>82</v>
      </c>
      <c r="J23" s="9">
        <v>7232</v>
      </c>
      <c r="K23" s="1"/>
      <c r="L23" s="1"/>
      <c r="M23" s="1"/>
      <c r="N23" s="1"/>
      <c r="O23" s="1"/>
      <c r="P23" s="19" t="s">
        <v>129</v>
      </c>
      <c r="Q23" s="20">
        <f ca="1">IF(ISERROR(SEARCH(INDIRECT(CELL("address")),P23:P207)),0,1)</f>
        <v>1</v>
      </c>
      <c r="R23" s="20">
        <f ca="1">IF(Q23=0,"",COUNTIF($Q$2:Q23,1))</f>
        <v>22</v>
      </c>
      <c r="S23" s="20" t="str">
        <f ca="1">IFERROR(INDEX(P:P, MATCH(ROW(R22),R:R,0)),"")</f>
        <v>MFT</v>
      </c>
      <c r="T23" s="1"/>
      <c r="U23" s="1"/>
      <c r="V23" s="1"/>
      <c r="W23" s="1">
        <f t="shared" ca="1" si="0"/>
        <v>0</v>
      </c>
      <c r="X23" s="1" t="str">
        <f ca="1">IF(W23=0,"",COUNTIF($W$2:W23,1))</f>
        <v/>
      </c>
      <c r="Y23" s="1" t="str">
        <f t="shared" ca="1" si="1"/>
        <v/>
      </c>
      <c r="Z23" s="1"/>
    </row>
    <row r="24" spans="1:26" ht="15.75" customHeight="1">
      <c r="A24" s="1"/>
      <c r="B24" s="1"/>
      <c r="C24" s="1"/>
      <c r="D24" s="19" t="s">
        <v>165</v>
      </c>
      <c r="E24" s="1"/>
      <c r="F24" s="1"/>
      <c r="G24" s="10" t="s">
        <v>84</v>
      </c>
      <c r="H24" s="1"/>
      <c r="I24" s="11" t="s">
        <v>85</v>
      </c>
      <c r="J24" s="3">
        <v>9548</v>
      </c>
      <c r="K24" s="1"/>
      <c r="L24" s="1"/>
      <c r="M24" s="1"/>
      <c r="N24" s="1"/>
      <c r="O24" s="1"/>
      <c r="P24" s="19" t="s">
        <v>119</v>
      </c>
      <c r="Q24" s="20">
        <f ca="1">IF(ISERROR(SEARCH(INDIRECT(CELL("address")),P24:P208)),0,1)</f>
        <v>1</v>
      </c>
      <c r="R24" s="20">
        <f ca="1">IF(Q24=0,"",COUNTIF($Q$2:Q24,1))</f>
        <v>23</v>
      </c>
      <c r="S24" s="20" t="str">
        <f ca="1">IFERROR(INDEX(P:P, MATCH(ROW(R23),R:R,0)),"")</f>
        <v>KTP</v>
      </c>
      <c r="T24" s="1"/>
      <c r="U24" s="1"/>
      <c r="W24" s="1"/>
      <c r="X24" s="1"/>
      <c r="Y24" s="1"/>
      <c r="Z24" s="1"/>
    </row>
    <row r="25" spans="1:26" ht="15.75" customHeight="1">
      <c r="A25" s="1"/>
      <c r="B25" s="1"/>
      <c r="C25" s="1"/>
      <c r="D25" s="19" t="s">
        <v>46</v>
      </c>
      <c r="E25" s="1"/>
      <c r="F25" s="1"/>
      <c r="G25" s="6" t="s">
        <v>86</v>
      </c>
      <c r="H25" s="1"/>
      <c r="I25" s="7" t="s">
        <v>87</v>
      </c>
      <c r="J25" s="7">
        <v>9186</v>
      </c>
      <c r="K25" s="1"/>
      <c r="L25" s="1"/>
      <c r="M25" s="1"/>
      <c r="N25" s="1"/>
      <c r="O25" s="1"/>
      <c r="P25" s="19" t="s">
        <v>163</v>
      </c>
      <c r="Q25" s="20">
        <f ca="1">IF(ISERROR(SEARCH(INDIRECT(CELL("address")),P25:P209)),0,1)</f>
        <v>1</v>
      </c>
      <c r="R25" s="20">
        <f ca="1">IF(Q25=0,"",COUNTIF($Q$2:Q25,1))</f>
        <v>24</v>
      </c>
      <c r="S25" s="20" t="str">
        <f ca="1">IFERROR(INDEX(P:P, MATCH(ROW(R24),R:R,0)),"")</f>
        <v>TTSH HA</v>
      </c>
      <c r="T25" s="1"/>
      <c r="U25" s="1"/>
      <c r="W25" s="1"/>
      <c r="X25" s="1"/>
      <c r="Y25" s="1"/>
      <c r="Z25" s="1"/>
    </row>
    <row r="26" spans="1:26" ht="15.75" customHeight="1" thickBot="1">
      <c r="A26" s="1"/>
      <c r="B26" s="1"/>
      <c r="C26" s="1"/>
      <c r="D26" s="19" t="s">
        <v>129</v>
      </c>
      <c r="E26" s="1"/>
      <c r="F26" s="1"/>
      <c r="G26" s="8" t="s">
        <v>88</v>
      </c>
      <c r="H26" s="1"/>
      <c r="I26" s="7" t="s">
        <v>89</v>
      </c>
      <c r="J26" s="7">
        <v>7241</v>
      </c>
      <c r="K26" s="1"/>
      <c r="L26" s="1"/>
      <c r="M26" s="1"/>
      <c r="N26" s="1"/>
      <c r="O26" s="1"/>
      <c r="P26" s="19" t="s">
        <v>30</v>
      </c>
      <c r="Q26" s="20">
        <f ca="1">IF(ISERROR(SEARCH(INDIRECT(CELL("address")),P26:P210)),0,1)</f>
        <v>1</v>
      </c>
      <c r="R26" s="20">
        <f ca="1">IF(Q26=0,"",COUNTIF($Q$2:Q26,1))</f>
        <v>25</v>
      </c>
      <c r="S26" s="20" t="str">
        <f ca="1">IFERROR(INDEX(P:P, MATCH(ROW(R25),R:R,0)),"")</f>
        <v>AH UET</v>
      </c>
      <c r="T26" s="1"/>
      <c r="U26" s="1"/>
      <c r="W26" s="1"/>
      <c r="X26" s="1"/>
      <c r="Y26" s="1"/>
      <c r="Z26" s="1"/>
    </row>
    <row r="27" spans="1:26" ht="15.75" customHeight="1" thickBot="1">
      <c r="A27" s="1"/>
      <c r="B27" s="1"/>
      <c r="C27" s="1"/>
      <c r="D27" s="19" t="s">
        <v>119</v>
      </c>
      <c r="E27" s="1"/>
      <c r="F27" s="1"/>
      <c r="G27" s="31" t="s">
        <v>226</v>
      </c>
      <c r="H27" s="1"/>
      <c r="I27" s="7" t="s">
        <v>90</v>
      </c>
      <c r="J27" s="7">
        <v>7250</v>
      </c>
      <c r="K27" s="1"/>
      <c r="L27" s="1"/>
      <c r="M27" s="1"/>
      <c r="N27" s="1"/>
      <c r="O27" s="1"/>
      <c r="P27" s="19" t="s">
        <v>17</v>
      </c>
      <c r="Q27" s="20">
        <f ca="1">IF(ISERROR(SEARCH(INDIRECT(CELL("address")),P27:P211)),0,1)</f>
        <v>1</v>
      </c>
      <c r="R27" s="20">
        <f ca="1">IF(Q27=0,"",COUNTIF($Q$2:Q27,1))</f>
        <v>26</v>
      </c>
      <c r="S27" s="20" t="str">
        <f ca="1">IFERROR(INDEX(P:P, MATCH(ROW(R26),R:R,0)),"")</f>
        <v>AH HSK</v>
      </c>
      <c r="T27" s="1"/>
      <c r="U27" s="1"/>
      <c r="W27" s="1"/>
      <c r="X27" s="1"/>
      <c r="Y27" s="1"/>
      <c r="Z27" s="1"/>
    </row>
    <row r="28" spans="1:26" ht="15.75" customHeight="1" thickBot="1">
      <c r="A28" s="1"/>
      <c r="B28" s="1"/>
      <c r="C28" s="1"/>
      <c r="D28" s="19" t="s">
        <v>163</v>
      </c>
      <c r="E28" s="1"/>
      <c r="F28" s="1"/>
      <c r="G28" s="31" t="s">
        <v>227</v>
      </c>
      <c r="H28" s="1"/>
      <c r="I28" s="7" t="s">
        <v>91</v>
      </c>
      <c r="J28" s="7">
        <v>8712</v>
      </c>
      <c r="K28" s="1"/>
      <c r="L28" s="1"/>
      <c r="M28" s="1"/>
      <c r="N28" s="1"/>
      <c r="O28" s="1"/>
      <c r="P28" s="19" t="s">
        <v>156</v>
      </c>
      <c r="Q28" s="20">
        <f ca="1">IF(ISERROR(SEARCH(INDIRECT(CELL("address")),P28:P212)),0,1)</f>
        <v>1</v>
      </c>
      <c r="R28" s="20">
        <f ca="1">IF(Q28=0,"",COUNTIF($Q$2:Q28,1))</f>
        <v>27</v>
      </c>
      <c r="S28" s="20" t="str">
        <f ca="1">IFERROR(INDEX(P:P, MATCH(ROW(R27),R:R,0)),"")</f>
        <v>SBWS</v>
      </c>
      <c r="T28" s="1"/>
      <c r="U28" s="1"/>
      <c r="W28" s="1"/>
      <c r="X28" s="1"/>
      <c r="Y28" s="1"/>
      <c r="Z28" s="1"/>
    </row>
    <row r="29" spans="1:26" ht="15.75" customHeight="1" thickBot="1">
      <c r="A29" s="1"/>
      <c r="B29" s="1"/>
      <c r="C29" s="1"/>
      <c r="D29" s="19" t="s">
        <v>30</v>
      </c>
      <c r="E29" s="1"/>
      <c r="F29" s="1"/>
      <c r="G29" s="31" t="s">
        <v>228</v>
      </c>
      <c r="H29" s="1"/>
      <c r="I29" s="7" t="s">
        <v>92</v>
      </c>
      <c r="J29" s="7">
        <v>8350</v>
      </c>
      <c r="K29" s="1"/>
      <c r="L29" s="1"/>
      <c r="M29" s="1"/>
      <c r="N29" s="1"/>
      <c r="O29" s="1"/>
      <c r="P29" s="19" t="s">
        <v>168</v>
      </c>
      <c r="Q29" s="20">
        <f ca="1">IF(ISERROR(SEARCH(INDIRECT(CELL("address")),P29:P213)),0,1)</f>
        <v>1</v>
      </c>
      <c r="R29" s="20">
        <f ca="1">IF(Q29=0,"",COUNTIF($Q$2:Q29,1))</f>
        <v>28</v>
      </c>
      <c r="S29" s="20" t="str">
        <f ca="1">IFERROR(INDEX(P:P, MATCH(ROW(R28),R:R,0)),"")</f>
        <v>YCH</v>
      </c>
      <c r="T29" s="1"/>
      <c r="U29" s="1"/>
      <c r="W29" s="1"/>
      <c r="X29" s="1"/>
      <c r="Y29" s="1"/>
      <c r="Z29" s="1"/>
    </row>
    <row r="30" spans="1:26" ht="15.75" customHeight="1" thickBot="1">
      <c r="A30" s="1"/>
      <c r="B30" s="1"/>
      <c r="C30" s="1"/>
      <c r="D30" s="19" t="s">
        <v>17</v>
      </c>
      <c r="E30" s="1"/>
      <c r="F30" s="1"/>
      <c r="G30" s="31" t="s">
        <v>229</v>
      </c>
      <c r="H30" s="1"/>
      <c r="I30" s="7" t="s">
        <v>94</v>
      </c>
      <c r="J30" s="7">
        <v>7153</v>
      </c>
      <c r="K30" s="1"/>
      <c r="L30" s="1"/>
      <c r="M30" s="1"/>
      <c r="N30" s="1"/>
      <c r="O30" s="1"/>
      <c r="P30" s="19" t="s">
        <v>43</v>
      </c>
      <c r="Q30" s="20">
        <f ca="1">IF(ISERROR(SEARCH(INDIRECT(CELL("address")),P30:P214)),0,1)</f>
        <v>1</v>
      </c>
      <c r="R30" s="20">
        <f ca="1">IF(Q30=0,"",COUNTIF($Q$2:Q30,1))</f>
        <v>29</v>
      </c>
      <c r="S30" s="20" t="str">
        <f ca="1">IFERROR(INDEX(P:P, MATCH(ROW(R29),R:R,0)),"")</f>
        <v>ASSISI</v>
      </c>
      <c r="T30" s="1"/>
      <c r="U30" s="1"/>
      <c r="W30" s="1"/>
      <c r="X30" s="1"/>
      <c r="Y30" s="1"/>
      <c r="Z30" s="1"/>
    </row>
    <row r="31" spans="1:26" ht="15.75" customHeight="1" thickBot="1">
      <c r="A31" s="1"/>
      <c r="B31" s="1"/>
      <c r="C31" s="1"/>
      <c r="D31" s="19" t="s">
        <v>156</v>
      </c>
      <c r="E31" s="1"/>
      <c r="F31" s="1"/>
      <c r="G31" s="31" t="s">
        <v>230</v>
      </c>
      <c r="H31" s="1"/>
      <c r="I31" s="7" t="s">
        <v>96</v>
      </c>
      <c r="J31" s="7">
        <v>7490</v>
      </c>
      <c r="K31" s="1"/>
      <c r="L31" s="1"/>
      <c r="M31" s="1"/>
      <c r="N31" s="1"/>
      <c r="O31" s="1"/>
      <c r="P31" s="19" t="s">
        <v>35</v>
      </c>
      <c r="Q31" s="20">
        <f ca="1">IF(ISERROR(SEARCH(INDIRECT(CELL("address")),P31:P215)),0,1)</f>
        <v>1</v>
      </c>
      <c r="R31" s="20">
        <f ca="1">IF(Q31=0,"",COUNTIF($Q$2:Q31,1))</f>
        <v>30</v>
      </c>
      <c r="S31" s="20" t="str">
        <f ca="1">IFERROR(INDEX(P:P, MATCH(ROW(R30),R:R,0)),"")</f>
        <v>AIS</v>
      </c>
      <c r="T31" s="1"/>
      <c r="U31" s="1"/>
      <c r="W31" s="1"/>
      <c r="X31" s="1"/>
      <c r="Y31" s="1"/>
      <c r="Z31" s="1"/>
    </row>
    <row r="32" spans="1:26" ht="15.75" customHeight="1" thickBot="1">
      <c r="A32" s="1"/>
      <c r="B32" s="1"/>
      <c r="C32" s="1"/>
      <c r="D32" s="19" t="s">
        <v>168</v>
      </c>
      <c r="E32" s="1"/>
      <c r="F32" s="1"/>
      <c r="G32" s="31" t="s">
        <v>231</v>
      </c>
      <c r="H32" s="1"/>
      <c r="I32" s="9" t="s">
        <v>98</v>
      </c>
      <c r="J32" s="9">
        <v>9636</v>
      </c>
      <c r="K32" s="1"/>
      <c r="L32" s="1"/>
      <c r="M32" s="1"/>
      <c r="N32" s="1"/>
      <c r="O32" s="1"/>
      <c r="P32" s="19" t="s">
        <v>134</v>
      </c>
      <c r="Q32" s="20">
        <f ca="1">IF(ISERROR(SEARCH(INDIRECT(CELL("address")),P32:P216)),0,1)</f>
        <v>1</v>
      </c>
      <c r="R32" s="20">
        <f ca="1">IF(Q32=0,"",COUNTIF($Q$2:Q32,1))</f>
        <v>31</v>
      </c>
      <c r="S32" s="20" t="str">
        <f ca="1">IFERROR(INDEX(P:P, MATCH(ROW(R31),R:R,0)),"")</f>
        <v>MOHH PHCH</v>
      </c>
      <c r="T32" s="1"/>
      <c r="U32" s="1"/>
      <c r="W32" s="1"/>
      <c r="X32" s="1"/>
      <c r="Y32" s="1"/>
      <c r="Z32" s="1"/>
    </row>
    <row r="33" spans="1:26" ht="15.75" customHeight="1" thickBot="1">
      <c r="A33" s="1"/>
      <c r="B33" s="1"/>
      <c r="C33" s="1"/>
      <c r="D33" s="19" t="s">
        <v>43</v>
      </c>
      <c r="E33" s="1"/>
      <c r="F33" s="1"/>
      <c r="G33" s="31" t="s">
        <v>232</v>
      </c>
      <c r="H33" s="1"/>
      <c r="I33" s="9" t="s">
        <v>99</v>
      </c>
      <c r="J33" s="9">
        <v>7302</v>
      </c>
      <c r="K33" s="1"/>
      <c r="L33" s="1"/>
      <c r="M33" s="1"/>
      <c r="N33" s="1"/>
      <c r="O33" s="1"/>
      <c r="P33" s="19" t="s">
        <v>137</v>
      </c>
      <c r="Q33" s="20">
        <f ca="1">IF(ISERROR(SEARCH(INDIRECT(CELL("address")),P33:P217)),0,1)</f>
        <v>1</v>
      </c>
      <c r="R33" s="20">
        <f ca="1">IF(Q33=0,"",COUNTIF($Q$2:Q33,1))</f>
        <v>32</v>
      </c>
      <c r="S33" s="20" t="str">
        <f ca="1">IFERROR(INDEX(P:P, MATCH(ROW(R32),R:R,0)),"")</f>
        <v>MOHH WNH</v>
      </c>
      <c r="T33" s="1"/>
      <c r="U33" s="1"/>
      <c r="W33" s="1"/>
      <c r="X33" s="1"/>
      <c r="Y33" s="1"/>
      <c r="Z33" s="1"/>
    </row>
    <row r="34" spans="1:26" ht="15.75" customHeight="1" thickBot="1">
      <c r="A34" s="1"/>
      <c r="B34" s="1"/>
      <c r="C34" s="1"/>
      <c r="D34" s="19" t="s">
        <v>35</v>
      </c>
      <c r="E34" s="1"/>
      <c r="F34" s="1"/>
      <c r="G34" s="31" t="s">
        <v>233</v>
      </c>
      <c r="H34" s="1"/>
      <c r="I34" s="7" t="s">
        <v>101</v>
      </c>
      <c r="J34" s="7">
        <v>7621</v>
      </c>
      <c r="K34" s="1"/>
      <c r="L34" s="1"/>
      <c r="M34" s="1"/>
      <c r="N34" s="1"/>
      <c r="O34" s="1"/>
      <c r="P34" s="19" t="s">
        <v>152</v>
      </c>
      <c r="Q34" s="20">
        <f ca="1">IF(ISERROR(SEARCH(INDIRECT(CELL("address")),P34:P218)),0,1)</f>
        <v>1</v>
      </c>
      <c r="R34" s="20">
        <f ca="1">IF(Q34=0,"",COUNTIF($Q$2:Q34,1))</f>
        <v>33</v>
      </c>
      <c r="S34" s="20" t="str">
        <f ca="1">IFERROR(INDEX(P:P, MATCH(ROW(R33),R:R,0)),"")</f>
        <v>REN CI</v>
      </c>
      <c r="T34" s="1"/>
      <c r="U34" s="1"/>
      <c r="W34" s="1"/>
      <c r="X34" s="1"/>
      <c r="Y34" s="1"/>
      <c r="Z34" s="1"/>
    </row>
    <row r="35" spans="1:26" ht="15.75" customHeight="1" thickBot="1">
      <c r="A35" s="1"/>
      <c r="B35" s="1"/>
      <c r="C35" s="1"/>
      <c r="D35" s="19" t="s">
        <v>134</v>
      </c>
      <c r="E35" s="1"/>
      <c r="F35" s="1"/>
      <c r="G35" s="31" t="s">
        <v>234</v>
      </c>
      <c r="H35" s="1"/>
      <c r="I35" s="7" t="s">
        <v>103</v>
      </c>
      <c r="J35" s="7">
        <v>8077</v>
      </c>
      <c r="K35" s="1"/>
      <c r="L35" s="1"/>
      <c r="M35" s="1"/>
      <c r="N35" s="1"/>
      <c r="O35" s="1"/>
      <c r="P35" s="19" t="s">
        <v>180</v>
      </c>
      <c r="Q35" s="20">
        <f ca="1">IF(ISERROR(SEARCH(INDIRECT(CELL("address")),P35:P219)),0,1)</f>
        <v>1</v>
      </c>
      <c r="R35" s="20">
        <f ca="1">IF(Q35=0,"",COUNTIF($Q$2:Q35,1))</f>
        <v>34</v>
      </c>
      <c r="S35" s="20" t="str">
        <f ca="1">IFERROR(INDEX(P:P, MATCH(ROW(R34),R:R,0)),"")</f>
        <v>SKGH HA</v>
      </c>
      <c r="T35" s="1"/>
      <c r="U35" s="1"/>
      <c r="W35" s="1"/>
      <c r="X35" s="1"/>
      <c r="Y35" s="1"/>
      <c r="Z35" s="1"/>
    </row>
    <row r="36" spans="1:26" ht="15.75" customHeight="1" thickBot="1">
      <c r="A36" s="1"/>
      <c r="B36" s="1"/>
      <c r="C36" s="1"/>
      <c r="D36" s="19" t="s">
        <v>137</v>
      </c>
      <c r="E36" s="1"/>
      <c r="F36" s="1"/>
      <c r="G36" s="31" t="s">
        <v>235</v>
      </c>
      <c r="H36" s="1"/>
      <c r="I36" s="7" t="s">
        <v>104</v>
      </c>
      <c r="J36" s="7">
        <v>8518</v>
      </c>
      <c r="K36" s="1"/>
      <c r="L36" s="1"/>
      <c r="M36" s="1"/>
      <c r="N36" s="1"/>
      <c r="O36" s="1"/>
      <c r="P36" s="19" t="s">
        <v>136</v>
      </c>
      <c r="Q36" s="20">
        <f ca="1">IF(ISERROR(SEARCH(INDIRECT(CELL("address")),P36:P220)),0,1)</f>
        <v>1</v>
      </c>
      <c r="R36" s="20">
        <f ca="1">IF(Q36=0,"",COUNTIF($Q$2:Q36,1))</f>
        <v>35</v>
      </c>
      <c r="S36" s="20" t="str">
        <f ca="1">IFERROR(INDEX(P:P, MATCH(ROW(R35),R:R,0)),"")</f>
        <v>MOHH TCH</v>
      </c>
      <c r="T36" s="1"/>
      <c r="U36" s="1"/>
      <c r="W36" s="1"/>
      <c r="X36" s="1"/>
      <c r="Y36" s="1"/>
      <c r="Z36" s="1"/>
    </row>
    <row r="37" spans="1:26" ht="15.75" customHeight="1" thickBot="1">
      <c r="A37" s="1"/>
      <c r="B37" s="1"/>
      <c r="C37" s="1"/>
      <c r="D37" s="19" t="s">
        <v>152</v>
      </c>
      <c r="E37" s="1"/>
      <c r="F37" s="1"/>
      <c r="G37" s="31" t="s">
        <v>236</v>
      </c>
      <c r="H37" s="1"/>
      <c r="I37" s="7" t="s">
        <v>106</v>
      </c>
      <c r="J37" s="7">
        <v>7339</v>
      </c>
      <c r="K37" s="1"/>
      <c r="L37" s="1"/>
      <c r="M37" s="1"/>
      <c r="N37" s="1"/>
      <c r="O37" s="1"/>
      <c r="P37" s="19" t="s">
        <v>161</v>
      </c>
      <c r="Q37" s="20">
        <f ca="1">IF(ISERROR(SEARCH(INDIRECT(CELL("address")),P37:P221)),0,1)</f>
        <v>1</v>
      </c>
      <c r="R37" s="20">
        <f ca="1">IF(Q37=0,"",COUNTIF($Q$2:Q37,1))</f>
        <v>36</v>
      </c>
      <c r="S37" s="20" t="str">
        <f ca="1">IFERROR(INDEX(P:P, MATCH(ROW(R36),R:R,0)),"")</f>
        <v>StarMed</v>
      </c>
      <c r="T37" s="1"/>
      <c r="U37" s="1"/>
      <c r="W37" s="1"/>
      <c r="X37" s="1"/>
      <c r="Y37" s="1"/>
      <c r="Z37" s="1"/>
    </row>
    <row r="38" spans="1:26" ht="15.75" customHeight="1" thickBot="1">
      <c r="A38" s="1"/>
      <c r="B38" s="1"/>
      <c r="C38" s="1"/>
      <c r="D38" s="19" t="s">
        <v>180</v>
      </c>
      <c r="E38" s="1"/>
      <c r="F38" s="1"/>
      <c r="G38" s="31" t="s">
        <v>237</v>
      </c>
      <c r="H38" s="1"/>
      <c r="I38" s="7" t="s">
        <v>108</v>
      </c>
      <c r="J38" s="7">
        <v>7056</v>
      </c>
      <c r="K38" s="1"/>
      <c r="L38" s="1"/>
      <c r="M38" s="1"/>
      <c r="N38" s="1"/>
      <c r="O38" s="1"/>
      <c r="P38" s="19" t="s">
        <v>133</v>
      </c>
      <c r="Q38" s="20">
        <f ca="1">IF(ISERROR(SEARCH(INDIRECT(CELL("address")),P38:P222)),0,1)</f>
        <v>1</v>
      </c>
      <c r="R38" s="20">
        <f ca="1">IF(Q38=0,"",COUNTIF($Q$2:Q38,1))</f>
        <v>37</v>
      </c>
      <c r="S38" s="20" t="str">
        <f ca="1">IFERROR(INDEX(P:P, MATCH(ROW(R37),R:R,0)),"")</f>
        <v>MOHH BBWNH</v>
      </c>
      <c r="T38" s="1"/>
      <c r="U38" s="1"/>
      <c r="W38" s="1"/>
      <c r="X38" s="1"/>
      <c r="Y38" s="1"/>
      <c r="Z38" s="1"/>
    </row>
    <row r="39" spans="1:26" ht="15.75" customHeight="1" thickBot="1">
      <c r="A39" s="1"/>
      <c r="B39" s="1"/>
      <c r="C39" s="1"/>
      <c r="D39" s="19" t="s">
        <v>136</v>
      </c>
      <c r="E39" s="1"/>
      <c r="F39" s="1"/>
      <c r="G39" s="31" t="s">
        <v>238</v>
      </c>
      <c r="H39" s="1"/>
      <c r="I39" s="7" t="s">
        <v>109</v>
      </c>
      <c r="J39" s="7">
        <v>9326</v>
      </c>
      <c r="K39" s="1"/>
      <c r="L39" s="1"/>
      <c r="M39" s="1"/>
      <c r="N39" s="1"/>
      <c r="O39" s="1"/>
      <c r="P39" s="19" t="s">
        <v>121</v>
      </c>
      <c r="Q39" s="20">
        <f ca="1">IF(ISERROR(SEARCH(INDIRECT(CELL("address")),P39:P223)),0,1)</f>
        <v>1</v>
      </c>
      <c r="R39" s="20">
        <f ca="1">IF(Q39=0,"",COUNTIF($Q$2:Q39,1))</f>
        <v>38</v>
      </c>
      <c r="S39" s="20" t="str">
        <f ca="1">IFERROR(INDEX(P:P, MATCH(ROW(R38),R:R,0)),"")</f>
        <v>KTPH - UET</v>
      </c>
      <c r="T39" s="1"/>
      <c r="U39" s="1"/>
      <c r="W39" s="1"/>
      <c r="X39" s="1"/>
      <c r="Y39" s="1"/>
      <c r="Z39" s="1"/>
    </row>
    <row r="40" spans="1:26" ht="15.75" customHeight="1" thickBot="1">
      <c r="A40" s="1"/>
      <c r="B40" s="1"/>
      <c r="C40" s="1"/>
      <c r="D40" s="19" t="s">
        <v>161</v>
      </c>
      <c r="E40" s="1"/>
      <c r="F40" s="1"/>
      <c r="G40" s="31" t="s">
        <v>239</v>
      </c>
      <c r="H40" s="1"/>
      <c r="I40" s="7" t="s">
        <v>111</v>
      </c>
      <c r="J40" s="7">
        <v>7366</v>
      </c>
      <c r="K40" s="1"/>
      <c r="L40" s="1"/>
      <c r="M40" s="1"/>
      <c r="N40" s="1"/>
      <c r="O40" s="1"/>
      <c r="P40" s="19" t="s">
        <v>158</v>
      </c>
      <c r="Q40" s="20">
        <f ca="1">IF(ISERROR(SEARCH(INDIRECT(CELL("address")),P40:P224)),0,1)</f>
        <v>1</v>
      </c>
      <c r="R40" s="20">
        <f ca="1">IF(Q40=0,"",COUNTIF($Q$2:Q40,1))</f>
        <v>39</v>
      </c>
      <c r="S40" s="20" t="str">
        <f ca="1">IFERROR(INDEX(P:P, MATCH(ROW(R39),R:R,0)),"")</f>
        <v>SGH VMS</v>
      </c>
      <c r="T40" s="1"/>
      <c r="U40" s="1"/>
      <c r="W40" s="1"/>
      <c r="X40" s="1"/>
      <c r="Y40" s="1"/>
      <c r="Z40" s="1"/>
    </row>
    <row r="41" spans="1:26" ht="15.75" customHeight="1" thickBot="1">
      <c r="A41" s="1"/>
      <c r="B41" s="1"/>
      <c r="C41" s="1"/>
      <c r="D41" s="19" t="s">
        <v>133</v>
      </c>
      <c r="E41" s="1"/>
      <c r="F41" s="1"/>
      <c r="G41" s="31" t="s">
        <v>240</v>
      </c>
      <c r="H41" s="1"/>
      <c r="I41" s="7" t="s">
        <v>112</v>
      </c>
      <c r="J41" s="7">
        <v>8527</v>
      </c>
      <c r="K41" s="1"/>
      <c r="L41" s="1"/>
      <c r="M41" s="1"/>
      <c r="N41" s="1"/>
      <c r="O41" s="1"/>
      <c r="P41" s="19" t="s">
        <v>159</v>
      </c>
      <c r="Q41" s="20">
        <f ca="1">IF(ISERROR(SEARCH(INDIRECT(CELL("address")),P41:P225)),0,1)</f>
        <v>1</v>
      </c>
      <c r="R41" s="20">
        <f ca="1">IF(Q41=0,"",COUNTIF($Q$2:Q41,1))</f>
        <v>40</v>
      </c>
      <c r="S41" s="20" t="str">
        <f ca="1">IFERROR(INDEX(P:P, MATCH(ROW(R40),R:R,0)),"")</f>
        <v>SHP</v>
      </c>
      <c r="T41" s="1"/>
      <c r="U41" s="1"/>
      <c r="W41" s="1"/>
      <c r="X41" s="1"/>
      <c r="Y41" s="1"/>
      <c r="Z41" s="1"/>
    </row>
    <row r="42" spans="1:26" ht="15.75" customHeight="1" thickBot="1">
      <c r="A42" s="1"/>
      <c r="B42" s="1"/>
      <c r="C42" s="1"/>
      <c r="D42" s="19" t="s">
        <v>121</v>
      </c>
      <c r="E42" s="1"/>
      <c r="F42" s="1"/>
      <c r="G42" s="31" t="s">
        <v>241</v>
      </c>
      <c r="H42" s="1"/>
      <c r="I42" s="7" t="s">
        <v>113</v>
      </c>
      <c r="J42" s="7">
        <v>7852</v>
      </c>
      <c r="K42" s="1"/>
      <c r="L42" s="1"/>
      <c r="M42" s="1"/>
      <c r="N42" s="1"/>
      <c r="O42" s="1"/>
      <c r="P42" s="19" t="s">
        <v>164</v>
      </c>
      <c r="Q42" s="20">
        <f ca="1">IF(ISERROR(SEARCH(INDIRECT(CELL("address")),P42:P226)),0,1)</f>
        <v>1</v>
      </c>
      <c r="R42" s="20">
        <f ca="1">IF(Q42=0,"",COUNTIF($Q$2:Q42,1))</f>
        <v>41</v>
      </c>
      <c r="S42" s="20" t="str">
        <f ca="1">IFERROR(INDEX(P:P, MATCH(ROW(R41),R:R,0)),"")</f>
        <v>TTSH HA - COVID-19</v>
      </c>
      <c r="T42" s="1"/>
      <c r="U42" s="1"/>
      <c r="W42" s="1"/>
      <c r="X42" s="1"/>
      <c r="Y42" s="1"/>
      <c r="Z42" s="1"/>
    </row>
    <row r="43" spans="1:26" ht="15.75" customHeight="1" thickBot="1">
      <c r="A43" s="1"/>
      <c r="B43" s="1"/>
      <c r="C43" s="1"/>
      <c r="D43" s="19" t="s">
        <v>158</v>
      </c>
      <c r="E43" s="1"/>
      <c r="F43" s="1"/>
      <c r="G43" s="31" t="s">
        <v>242</v>
      </c>
      <c r="H43" s="1"/>
      <c r="I43" s="9" t="s">
        <v>114</v>
      </c>
      <c r="J43" s="9">
        <v>9496</v>
      </c>
      <c r="K43" s="1"/>
      <c r="L43" s="1"/>
      <c r="M43" s="1"/>
      <c r="N43" s="1"/>
      <c r="O43" s="1"/>
      <c r="P43" s="19" t="s">
        <v>166</v>
      </c>
      <c r="Q43" s="20">
        <f ca="1">IF(ISERROR(SEARCH(INDIRECT(CELL("address")),P43:P227)),0,1)</f>
        <v>1</v>
      </c>
      <c r="R43" s="20">
        <f ca="1">IF(Q43=0,"",COUNTIF($Q$2:Q43,1))</f>
        <v>42</v>
      </c>
      <c r="S43" s="20" t="str">
        <f ca="1">IFERROR(INDEX(P:P, MATCH(ROW(R42),R:R,0)),"")</f>
        <v>TTSH UET - COVID-19</v>
      </c>
      <c r="T43" s="1"/>
      <c r="U43" s="1"/>
      <c r="W43" s="1"/>
      <c r="X43" s="1"/>
      <c r="Y43" s="1"/>
      <c r="Z43" s="1"/>
    </row>
    <row r="44" spans="1:26" ht="15.75" customHeight="1" thickBot="1">
      <c r="A44" s="1"/>
      <c r="B44" s="1"/>
      <c r="C44" s="1"/>
      <c r="D44" s="19" t="s">
        <v>159</v>
      </c>
      <c r="E44" s="1"/>
      <c r="F44" s="1"/>
      <c r="G44" s="31" t="s">
        <v>243</v>
      </c>
      <c r="H44" s="1"/>
      <c r="I44" s="9" t="s">
        <v>116</v>
      </c>
      <c r="J44" s="9">
        <v>7144</v>
      </c>
      <c r="K44" s="1"/>
      <c r="L44" s="1"/>
      <c r="M44" s="1"/>
      <c r="N44" s="1"/>
      <c r="O44" s="1"/>
      <c r="P44" s="19" t="s">
        <v>25</v>
      </c>
      <c r="Q44" s="20">
        <f ca="1">IF(ISERROR(SEARCH(INDIRECT(CELL("address")),P44:P228)),0,1)</f>
        <v>1</v>
      </c>
      <c r="R44" s="20">
        <f ca="1">IF(Q44=0,"",COUNTIF($Q$2:Q44,1))</f>
        <v>43</v>
      </c>
      <c r="S44" s="20" t="str">
        <f ca="1">IFERROR(INDEX(P:P, MATCH(ROW(R43),R:R,0)),"")</f>
        <v>AH STW</v>
      </c>
      <c r="T44" s="1"/>
      <c r="U44" s="1"/>
      <c r="W44" s="1"/>
      <c r="X44" s="1"/>
      <c r="Y44" s="1"/>
      <c r="Z44" s="1"/>
    </row>
    <row r="45" spans="1:26" ht="15.75" customHeight="1" thickBot="1">
      <c r="A45" s="1"/>
      <c r="B45" s="1"/>
      <c r="C45" s="1"/>
      <c r="D45" s="19" t="s">
        <v>164</v>
      </c>
      <c r="E45" s="1"/>
      <c r="F45" s="1"/>
      <c r="G45" s="31" t="s">
        <v>244</v>
      </c>
      <c r="H45" s="1"/>
      <c r="I45" s="7" t="s">
        <v>118</v>
      </c>
      <c r="J45" s="7">
        <v>7791</v>
      </c>
      <c r="K45" s="1"/>
      <c r="L45" s="1"/>
      <c r="M45" s="1"/>
      <c r="N45" s="1"/>
      <c r="O45" s="1"/>
      <c r="P45" s="19" t="s">
        <v>181</v>
      </c>
      <c r="Q45" s="20">
        <f ca="1">IF(ISERROR(SEARCH(INDIRECT(CELL("address")),P45:P229)),0,1)</f>
        <v>1</v>
      </c>
      <c r="R45" s="20">
        <f ca="1">IF(Q45=0,"",COUNTIF($Q$2:Q45,1))</f>
        <v>44</v>
      </c>
      <c r="S45" s="20" t="str">
        <f ca="1">IFERROR(INDEX(P:P, MATCH(ROW(R44),R:R,0)),"")</f>
        <v>SKH HSK</v>
      </c>
      <c r="T45" s="1"/>
      <c r="U45" s="1"/>
      <c r="W45" s="1"/>
      <c r="X45" s="1"/>
      <c r="Y45" s="1"/>
      <c r="Z45" s="1"/>
    </row>
    <row r="46" spans="1:26" ht="15.75" customHeight="1" thickBot="1">
      <c r="A46" s="1"/>
      <c r="B46" s="1"/>
      <c r="C46" s="1"/>
      <c r="D46" s="19" t="s">
        <v>166</v>
      </c>
      <c r="E46" s="1"/>
      <c r="F46" s="1"/>
      <c r="G46" s="31" t="s">
        <v>245</v>
      </c>
      <c r="H46" s="1"/>
      <c r="I46" s="7" t="s">
        <v>120</v>
      </c>
      <c r="J46" s="7">
        <v>7472</v>
      </c>
      <c r="K46" s="1"/>
      <c r="L46" s="1"/>
      <c r="M46" s="1"/>
      <c r="N46" s="1"/>
      <c r="O46" s="1"/>
      <c r="P46" s="19" t="s">
        <v>172</v>
      </c>
      <c r="Q46" s="20">
        <f ca="1">IF(ISERROR(SEARCH(INDIRECT(CELL("address")),P46:P230)),0,1)</f>
        <v>1</v>
      </c>
      <c r="R46" s="20">
        <f ca="1">IF(Q46=0,"",COUNTIF($Q$2:Q46,1))</f>
        <v>45</v>
      </c>
      <c r="S46" s="20" t="str">
        <f ca="1">IFERROR(INDEX(P:P, MATCH(ROW(R45),R:R,0)),"")</f>
        <v>SKH UET</v>
      </c>
      <c r="T46" s="1"/>
      <c r="U46" s="1"/>
      <c r="W46" s="1"/>
      <c r="X46" s="1"/>
      <c r="Y46" s="1"/>
      <c r="Z46" s="1"/>
    </row>
    <row r="47" spans="1:26" ht="15.75" customHeight="1" thickBot="1">
      <c r="A47" s="1"/>
      <c r="B47" s="1"/>
      <c r="C47" s="1"/>
      <c r="D47" s="19" t="s">
        <v>25</v>
      </c>
      <c r="E47" s="1"/>
      <c r="F47" s="1"/>
      <c r="G47" s="31" t="s">
        <v>246</v>
      </c>
      <c r="H47" s="1"/>
      <c r="I47" s="7" t="s">
        <v>122</v>
      </c>
      <c r="J47" s="7">
        <v>8493</v>
      </c>
      <c r="K47" s="1"/>
      <c r="L47" s="1"/>
      <c r="M47" s="1"/>
      <c r="N47" s="1"/>
      <c r="O47" s="1"/>
      <c r="P47" s="19" t="s">
        <v>135</v>
      </c>
      <c r="Q47" s="20">
        <f ca="1">IF(ISERROR(SEARCH(INDIRECT(CELL("address")),P47:P231)),0,1)</f>
        <v>1</v>
      </c>
      <c r="R47" s="20">
        <f ca="1">IF(Q47=0,"",COUNTIF($Q$2:Q47,1))</f>
        <v>46</v>
      </c>
      <c r="S47" s="20" t="str">
        <f ca="1">IFERROR(INDEX(P:P, MATCH(ROW(R46),R:R,0)),"")</f>
        <v>MOHH SENJA</v>
      </c>
      <c r="T47" s="1"/>
      <c r="U47" s="1"/>
      <c r="W47" s="1"/>
      <c r="X47" s="1"/>
      <c r="Y47" s="1"/>
      <c r="Z47" s="1"/>
    </row>
    <row r="48" spans="1:26" ht="15.75" customHeight="1" thickBot="1">
      <c r="A48" s="1"/>
      <c r="B48" s="1"/>
      <c r="C48" s="1"/>
      <c r="D48" s="19" t="s">
        <v>181</v>
      </c>
      <c r="E48" s="1"/>
      <c r="F48" s="1"/>
      <c r="G48" s="31" t="s">
        <v>247</v>
      </c>
      <c r="H48" s="1"/>
      <c r="I48" s="12" t="s">
        <v>123</v>
      </c>
      <c r="J48" s="13">
        <v>7092</v>
      </c>
      <c r="K48" s="1"/>
      <c r="L48" s="1"/>
      <c r="M48" s="1"/>
      <c r="N48" s="1"/>
      <c r="O48" s="1"/>
      <c r="P48" s="19" t="s">
        <v>182</v>
      </c>
      <c r="Q48" s="20">
        <f ca="1">IF(ISERROR(SEARCH(INDIRECT(CELL("address")),P48:P232)),0,1)</f>
        <v>1</v>
      </c>
      <c r="R48" s="20">
        <f ca="1">IF(Q48=0,"",COUNTIF($Q$2:Q48,1))</f>
        <v>47</v>
      </c>
      <c r="S48" s="20" t="str">
        <f ca="1">IFERROR(INDEX(P:P, MATCH(ROW(R47),R:R,0)),"")</f>
        <v>NTFGH-STW</v>
      </c>
      <c r="T48" s="1"/>
      <c r="U48" s="1"/>
      <c r="W48" s="1"/>
      <c r="X48" s="1"/>
      <c r="Y48" s="1"/>
      <c r="Z48" s="1"/>
    </row>
    <row r="49" spans="1:26" ht="15.75" customHeight="1" thickBot="1">
      <c r="A49" s="1"/>
      <c r="B49" s="1"/>
      <c r="C49" s="1"/>
      <c r="D49" s="19" t="s">
        <v>172</v>
      </c>
      <c r="E49" s="1"/>
      <c r="F49" s="1"/>
      <c r="G49" s="31" t="s">
        <v>248</v>
      </c>
      <c r="H49" s="1"/>
      <c r="I49" s="7" t="s">
        <v>124</v>
      </c>
      <c r="J49" s="7">
        <v>7685</v>
      </c>
      <c r="K49" s="1"/>
      <c r="L49" s="1"/>
      <c r="M49" s="1"/>
      <c r="N49" s="1"/>
      <c r="O49" s="1"/>
      <c r="P49" s="19" t="s">
        <v>177</v>
      </c>
      <c r="Q49" s="20">
        <f ca="1">IF(ISERROR(SEARCH(INDIRECT(CELL("address")),P49:P233)),0,1)</f>
        <v>1</v>
      </c>
      <c r="R49" s="20">
        <f ca="1">IF(Q49=0,"",COUNTIF($Q$2:Q49,1))</f>
        <v>48</v>
      </c>
      <c r="S49" s="20" t="str">
        <f ca="1">IFERROR(INDEX(P:P, MATCH(ROW(R48),R:R,0)),"")</f>
        <v>FLOAT - NURSING HOME</v>
      </c>
      <c r="T49" s="1"/>
      <c r="U49" s="1"/>
      <c r="W49" s="1"/>
      <c r="X49" s="1"/>
      <c r="Y49" s="1"/>
      <c r="Z49" s="1"/>
    </row>
    <row r="50" spans="1:26" ht="15.75" customHeight="1" thickBot="1">
      <c r="A50" s="1"/>
      <c r="B50" s="1"/>
      <c r="C50" s="1"/>
      <c r="D50" s="19" t="s">
        <v>135</v>
      </c>
      <c r="E50" s="1"/>
      <c r="F50" s="1"/>
      <c r="G50" s="31" t="s">
        <v>249</v>
      </c>
      <c r="H50" s="1"/>
      <c r="I50" s="7" t="s">
        <v>126</v>
      </c>
      <c r="J50" s="7">
        <v>7357</v>
      </c>
      <c r="K50" s="1"/>
      <c r="L50" s="1"/>
      <c r="M50" s="1"/>
      <c r="N50" s="1"/>
      <c r="O50" s="1"/>
      <c r="P50" s="19" t="s">
        <v>183</v>
      </c>
      <c r="Q50" s="20">
        <f ca="1">IF(ISERROR(SEARCH(INDIRECT(CELL("address")),P50:P234)),0,1)</f>
        <v>1</v>
      </c>
      <c r="R50" s="20">
        <f ca="1">IF(Q50=0,"",COUNTIF($Q$2:Q50,1))</f>
        <v>49</v>
      </c>
      <c r="S50" s="20" t="str">
        <f ca="1">IFERROR(INDEX(P:P, MATCH(ROW(R49),R:R,0)),"")</f>
        <v>EFM (HRCT)</v>
      </c>
      <c r="T50" s="1"/>
      <c r="U50" s="1"/>
      <c r="W50" s="1"/>
      <c r="X50" s="1"/>
      <c r="Y50" s="1"/>
      <c r="Z50" s="1"/>
    </row>
    <row r="51" spans="1:26" ht="15.75" customHeight="1" thickBot="1">
      <c r="A51" s="1"/>
      <c r="B51" s="1"/>
      <c r="C51" s="1"/>
      <c r="D51" s="19" t="s">
        <v>182</v>
      </c>
      <c r="E51" s="1"/>
      <c r="F51" s="1"/>
      <c r="G51" s="31" t="s">
        <v>250</v>
      </c>
      <c r="H51" s="1"/>
      <c r="I51" s="7" t="s">
        <v>128</v>
      </c>
      <c r="J51" s="7">
        <v>8855</v>
      </c>
      <c r="K51" s="1"/>
      <c r="L51" s="1"/>
      <c r="M51" s="1"/>
      <c r="N51" s="1"/>
      <c r="O51" s="1"/>
      <c r="P51" s="19" t="s">
        <v>138</v>
      </c>
      <c r="Q51" s="20">
        <f ca="1">IF(ISERROR(SEARCH(INDIRECT(CELL("address")),P51:P235)),0,1)</f>
        <v>1</v>
      </c>
      <c r="R51" s="20">
        <f ca="1">IF(Q51=0,"",COUNTIF($Q$2:Q51,1))</f>
        <v>50</v>
      </c>
      <c r="S51" s="20" t="str">
        <f ca="1">IFERROR(INDEX(P:P, MATCH(ROW(R50),R:R,0)),"")</f>
        <v>NCR</v>
      </c>
      <c r="T51" s="1"/>
      <c r="U51" s="1"/>
      <c r="W51" s="1"/>
      <c r="X51" s="1"/>
      <c r="Y51" s="1"/>
      <c r="Z51" s="1"/>
    </row>
    <row r="52" spans="1:26" ht="15.75" customHeight="1" thickBot="1">
      <c r="A52" s="1"/>
      <c r="B52" s="1"/>
      <c r="C52" s="1"/>
      <c r="D52" s="19" t="s">
        <v>177</v>
      </c>
      <c r="E52" s="1"/>
      <c r="F52" s="1"/>
      <c r="G52" s="31" t="s">
        <v>251</v>
      </c>
      <c r="H52" s="1"/>
      <c r="I52" s="7" t="s">
        <v>130</v>
      </c>
      <c r="J52" s="7">
        <v>7375</v>
      </c>
      <c r="K52" s="1"/>
      <c r="L52" s="1"/>
      <c r="M52" s="1"/>
      <c r="N52" s="1"/>
      <c r="O52" s="1"/>
      <c r="P52" s="19" t="s">
        <v>71</v>
      </c>
      <c r="Q52" s="20">
        <f ca="1">IF(ISERROR(SEARCH(INDIRECT(CELL("address")),P52:P236)),0,1)</f>
        <v>1</v>
      </c>
      <c r="R52" s="20">
        <f ca="1">IF(Q52=0,"",COUNTIF($Q$2:Q52,1))</f>
        <v>51</v>
      </c>
      <c r="S52" s="20" t="str">
        <f ca="1">IFERROR(INDEX(P:P, MATCH(ROW(R51),R:R,0)),"")</f>
        <v>FLOAT TEAM</v>
      </c>
      <c r="T52" s="1"/>
      <c r="U52" s="1"/>
      <c r="W52" s="1"/>
      <c r="X52" s="1"/>
      <c r="Y52" s="1"/>
      <c r="Z52" s="1"/>
    </row>
    <row r="53" spans="1:26" ht="15.75" customHeight="1" thickBot="1">
      <c r="A53" s="1"/>
      <c r="B53" s="1"/>
      <c r="C53" s="1"/>
      <c r="D53" s="19" t="s">
        <v>183</v>
      </c>
      <c r="E53" s="1"/>
      <c r="F53" s="1"/>
      <c r="G53" s="31" t="s">
        <v>252</v>
      </c>
      <c r="H53" s="1"/>
      <c r="I53" s="1"/>
      <c r="J53" s="1"/>
      <c r="K53" s="1"/>
      <c r="L53" s="1"/>
      <c r="M53" s="1"/>
      <c r="N53" s="1"/>
      <c r="O53" s="1"/>
      <c r="P53" s="19" t="s">
        <v>127</v>
      </c>
      <c r="Q53" s="20">
        <f ca="1">IF(ISERROR(SEARCH(INDIRECT(CELL("address")),P53:P237)),0,1)</f>
        <v>1</v>
      </c>
      <c r="R53" s="20">
        <f ca="1">IF(Q53=0,"",COUNTIF($Q$2:Q53,1))</f>
        <v>52</v>
      </c>
      <c r="S53" s="20" t="str">
        <f ca="1">IFERROR(INDEX(P:P, MATCH(ROW(R52),R:R,0)),"")</f>
        <v>MAYBANK ATM</v>
      </c>
      <c r="T53" s="1"/>
      <c r="U53" s="1"/>
      <c r="W53" s="1"/>
      <c r="X53" s="1"/>
      <c r="Y53" s="1"/>
      <c r="Z53" s="1"/>
    </row>
    <row r="54" spans="1:26" ht="15.75" customHeight="1" thickBot="1">
      <c r="A54" s="1"/>
      <c r="B54" s="1"/>
      <c r="C54" s="1"/>
      <c r="D54" s="19" t="s">
        <v>138</v>
      </c>
      <c r="E54" s="1"/>
      <c r="F54" s="1"/>
      <c r="G54" s="31" t="s">
        <v>253</v>
      </c>
      <c r="H54" s="1"/>
      <c r="I54" s="1"/>
      <c r="J54" s="1"/>
      <c r="K54" s="1"/>
      <c r="L54" s="1"/>
      <c r="M54" s="1"/>
      <c r="N54" s="1"/>
      <c r="O54" s="1"/>
      <c r="P54" s="19" t="s">
        <v>105</v>
      </c>
      <c r="Q54" s="20">
        <f ca="1">IF(ISERROR(SEARCH(INDIRECT(CELL("address")),P54:P238)),0,1)</f>
        <v>1</v>
      </c>
      <c r="R54" s="20">
        <f ca="1">IF(Q54=0,"",COUNTIF($Q$2:Q54,1))</f>
        <v>53</v>
      </c>
      <c r="S54" s="20" t="str">
        <f ca="1">IFERROR(INDEX(P:P, MATCH(ROW(R53),R:R,0)),"")</f>
        <v>HRD</v>
      </c>
      <c r="T54" s="1"/>
      <c r="U54" s="1"/>
      <c r="W54" s="1"/>
      <c r="X54" s="1"/>
      <c r="Y54" s="1"/>
      <c r="Z54" s="1"/>
    </row>
    <row r="55" spans="1:26" ht="15.75" customHeight="1" thickBot="1">
      <c r="A55" s="1"/>
      <c r="B55" s="1"/>
      <c r="C55" s="1"/>
      <c r="D55" s="19" t="s">
        <v>71</v>
      </c>
      <c r="E55" s="1"/>
      <c r="F55" s="1"/>
      <c r="G55" s="31" t="s">
        <v>254</v>
      </c>
      <c r="H55" s="1"/>
      <c r="I55" s="1"/>
      <c r="J55" s="1"/>
      <c r="K55" s="1"/>
      <c r="L55" s="1"/>
      <c r="M55" s="1"/>
      <c r="N55" s="1"/>
      <c r="O55" s="1"/>
      <c r="P55" s="19" t="s">
        <v>145</v>
      </c>
      <c r="Q55" s="20">
        <f ca="1">IF(ISERROR(SEARCH(INDIRECT(CELL("address")),P55:P239)),0,1)</f>
        <v>1</v>
      </c>
      <c r="R55" s="20">
        <f ca="1">IF(Q55=0,"",COUNTIF($Q$2:Q55,1))</f>
        <v>54</v>
      </c>
      <c r="S55" s="20" t="str">
        <f ca="1">IFERROR(INDEX(P:P, MATCH(ROW(R54),R:R,0)),"")</f>
        <v>PMC</v>
      </c>
      <c r="T55" s="1"/>
      <c r="U55" s="1"/>
      <c r="W55" s="1"/>
      <c r="X55" s="1"/>
      <c r="Y55" s="1"/>
      <c r="Z55" s="1"/>
    </row>
    <row r="56" spans="1:26" ht="15.75" customHeight="1" thickBot="1">
      <c r="A56" s="1"/>
      <c r="B56" s="1"/>
      <c r="C56" s="1"/>
      <c r="D56" s="19" t="s">
        <v>127</v>
      </c>
      <c r="E56" s="1"/>
      <c r="F56" s="1"/>
      <c r="G56" s="31" t="s">
        <v>255</v>
      </c>
      <c r="H56" s="1"/>
      <c r="I56" s="1"/>
      <c r="J56" s="1"/>
      <c r="K56" s="1"/>
      <c r="L56" s="1"/>
      <c r="M56" s="1"/>
      <c r="N56" s="1"/>
      <c r="O56" s="1"/>
      <c r="P56" s="19" t="s">
        <v>49</v>
      </c>
      <c r="Q56" s="26">
        <f ca="1">IF(ISERROR(SEARCH(INDIRECT(CELL("address")),P56:P240)),0,1)</f>
        <v>1</v>
      </c>
      <c r="R56" s="20">
        <f ca="1">IF(Q56=0,"",COUNTIF($Q$2:Q56,1))</f>
        <v>55</v>
      </c>
      <c r="S56" s="26" t="str">
        <f ca="1">IFERROR(INDEX(P:P, MATCH(ROW(R55),R:R,0)),"")</f>
        <v>BTR IFM</v>
      </c>
      <c r="T56" s="1"/>
      <c r="U56" s="1"/>
      <c r="W56" s="1"/>
      <c r="X56" s="1"/>
      <c r="Y56" s="1"/>
      <c r="Z56" s="1"/>
    </row>
    <row r="57" spans="1:26" ht="15.75" customHeight="1" thickBot="1">
      <c r="A57" s="1"/>
      <c r="B57" s="1"/>
      <c r="C57" s="1"/>
      <c r="D57" s="19" t="s">
        <v>105</v>
      </c>
      <c r="E57" s="1"/>
      <c r="F57" s="1"/>
      <c r="G57" s="31" t="s">
        <v>256</v>
      </c>
      <c r="H57" s="1"/>
      <c r="I57" s="1"/>
      <c r="J57" s="1"/>
      <c r="K57" s="1"/>
      <c r="L57" s="1"/>
      <c r="M57" s="1"/>
      <c r="N57" s="1"/>
      <c r="O57" s="1"/>
      <c r="P57" s="19" t="s">
        <v>77</v>
      </c>
      <c r="Q57" s="30">
        <f t="shared" ref="Q57:Q88" ca="1" si="2">IF(ISERROR(SEARCH(INDIRECT(CELL("address")),P57:P241)),0,1)</f>
        <v>1</v>
      </c>
      <c r="R57" s="30">
        <f ca="1">IF(Q57=0,"",COUNTIF($Q$2:Q57,1))</f>
        <v>56</v>
      </c>
      <c r="S57" s="30" t="str">
        <f t="shared" ref="S57:S88" ca="1" si="3">IFERROR(INDEX(P:P, MATCH(ROW(R56),R:R,0)),"")</f>
        <v>FM MA</v>
      </c>
      <c r="W57" s="1"/>
      <c r="X57" s="1"/>
      <c r="Y57" s="1"/>
      <c r="Z57" s="1"/>
    </row>
    <row r="58" spans="1:26" ht="15.75" customHeight="1" thickBot="1">
      <c r="A58" s="1"/>
      <c r="B58" s="1"/>
      <c r="C58" s="1"/>
      <c r="D58" s="19" t="s">
        <v>145</v>
      </c>
      <c r="E58" s="1"/>
      <c r="F58" s="1"/>
      <c r="G58" s="31" t="s">
        <v>257</v>
      </c>
      <c r="H58" s="1"/>
      <c r="I58" s="1"/>
      <c r="J58" s="1"/>
      <c r="K58" s="1"/>
      <c r="L58" s="1"/>
      <c r="M58" s="1"/>
      <c r="N58" s="1"/>
      <c r="O58" s="1"/>
      <c r="P58" s="19" t="s">
        <v>39</v>
      </c>
      <c r="Q58" s="30">
        <f t="shared" ca="1" si="2"/>
        <v>1</v>
      </c>
      <c r="R58" s="30">
        <f ca="1">IF(Q58=0,"",COUNTIF($Q$2:Q58,1))</f>
        <v>57</v>
      </c>
      <c r="S58" s="30" t="str">
        <f t="shared" ca="1" si="3"/>
        <v>AMARA SC</v>
      </c>
      <c r="W58" s="1"/>
      <c r="X58" s="1"/>
      <c r="Y58" s="1"/>
      <c r="Z58" s="1"/>
    </row>
    <row r="59" spans="1:26" ht="15.75" customHeight="1" thickBot="1">
      <c r="A59" s="1"/>
      <c r="B59" s="1"/>
      <c r="C59" s="1"/>
      <c r="D59" s="19" t="s">
        <v>49</v>
      </c>
      <c r="E59" s="1"/>
      <c r="F59" s="1"/>
      <c r="G59" s="31" t="s">
        <v>258</v>
      </c>
      <c r="H59" s="1"/>
      <c r="I59" s="1"/>
      <c r="J59" s="1"/>
      <c r="K59" s="1"/>
      <c r="L59" s="1"/>
      <c r="M59" s="1"/>
      <c r="N59" s="1"/>
      <c r="O59" s="1"/>
      <c r="P59" s="19" t="s">
        <v>131</v>
      </c>
      <c r="Q59" s="30">
        <f t="shared" ca="1" si="2"/>
        <v>1</v>
      </c>
      <c r="R59" s="30">
        <f ca="1">IF(Q59=0,"",COUNTIF($Q$2:Q59,1))</f>
        <v>58</v>
      </c>
      <c r="S59" s="30" t="str">
        <f t="shared" ca="1" si="3"/>
        <v>MITSUI HOUSE</v>
      </c>
      <c r="W59" s="1"/>
      <c r="X59" s="1"/>
      <c r="Y59" s="1"/>
      <c r="Z59" s="1"/>
    </row>
    <row r="60" spans="1:26" ht="16.5" thickBot="1">
      <c r="A60" s="1"/>
      <c r="B60" s="1"/>
      <c r="C60" s="1"/>
      <c r="D60" s="19" t="s">
        <v>77</v>
      </c>
      <c r="E60" s="1"/>
      <c r="F60" s="1"/>
      <c r="G60" s="31" t="s">
        <v>259</v>
      </c>
      <c r="H60" s="1"/>
      <c r="I60" s="1"/>
      <c r="J60" s="1"/>
      <c r="K60" s="1"/>
      <c r="L60" s="1"/>
      <c r="M60" s="1"/>
      <c r="N60" s="1"/>
      <c r="O60" s="1"/>
      <c r="P60" s="19" t="s">
        <v>143</v>
      </c>
      <c r="Q60" s="30">
        <f t="shared" ca="1" si="2"/>
        <v>1</v>
      </c>
      <c r="R60" s="30">
        <f ca="1">IF(Q60=0,"",COUNTIF($Q$2:Q60,1))</f>
        <v>59</v>
      </c>
      <c r="S60" s="30" t="str">
        <f t="shared" ca="1" si="3"/>
        <v>PARLIAMENT</v>
      </c>
      <c r="W60" s="1"/>
      <c r="X60" s="1"/>
      <c r="Y60" s="1"/>
      <c r="Z60" s="1"/>
    </row>
    <row r="61" spans="1:26" ht="16.5" thickBot="1">
      <c r="A61" s="1"/>
      <c r="B61" s="1"/>
      <c r="C61" s="1"/>
      <c r="D61" s="19" t="s">
        <v>39</v>
      </c>
      <c r="E61" s="1"/>
      <c r="F61" s="1"/>
      <c r="G61" s="31" t="s">
        <v>260</v>
      </c>
      <c r="H61" s="1"/>
      <c r="I61" s="1"/>
      <c r="J61" s="1"/>
      <c r="K61" s="1"/>
      <c r="L61" s="1"/>
      <c r="M61" s="1"/>
      <c r="N61" s="1"/>
      <c r="O61" s="1"/>
      <c r="P61" s="19" t="s">
        <v>167</v>
      </c>
      <c r="Q61" s="30">
        <f t="shared" ca="1" si="2"/>
        <v>1</v>
      </c>
      <c r="R61" s="30">
        <f ca="1">IF(Q61=0,"",COUNTIF($Q$2:Q61,1))</f>
        <v>60</v>
      </c>
      <c r="S61" s="30" t="str">
        <f t="shared" ca="1" si="3"/>
        <v>WT</v>
      </c>
      <c r="W61" s="1"/>
      <c r="X61" s="1"/>
      <c r="Y61" s="1"/>
      <c r="Z61" s="1"/>
    </row>
    <row r="62" spans="1:26" ht="16.5" thickBot="1">
      <c r="A62" s="1"/>
      <c r="B62" s="1"/>
      <c r="C62" s="1"/>
      <c r="D62" s="19" t="s">
        <v>131</v>
      </c>
      <c r="E62" s="1"/>
      <c r="F62" s="1"/>
      <c r="G62" s="31" t="s">
        <v>261</v>
      </c>
      <c r="H62" s="1"/>
      <c r="I62" s="1"/>
      <c r="J62" s="1"/>
      <c r="K62" s="1"/>
      <c r="L62" s="1"/>
      <c r="M62" s="1"/>
      <c r="N62" s="1"/>
      <c r="O62" s="1"/>
      <c r="P62" s="19" t="s">
        <v>67</v>
      </c>
      <c r="Q62" s="30">
        <f t="shared" ca="1" si="2"/>
        <v>1</v>
      </c>
      <c r="R62" s="30">
        <f ca="1">IF(Q62=0,"",COUNTIF($Q$2:Q62,1))</f>
        <v>61</v>
      </c>
      <c r="S62" s="30" t="str">
        <f t="shared" ca="1" si="3"/>
        <v>CPIB</v>
      </c>
      <c r="W62" s="1"/>
      <c r="X62" s="1"/>
      <c r="Y62" s="1"/>
      <c r="Z62" s="1"/>
    </row>
    <row r="63" spans="1:26" ht="16.5" thickBot="1">
      <c r="A63" s="1"/>
      <c r="B63" s="1"/>
      <c r="C63" s="1"/>
      <c r="D63" s="19" t="s">
        <v>143</v>
      </c>
      <c r="E63" s="1"/>
      <c r="F63" s="1"/>
      <c r="G63" s="31" t="s">
        <v>262</v>
      </c>
      <c r="H63" s="1"/>
      <c r="I63" s="1"/>
      <c r="J63" s="1"/>
      <c r="K63" s="1"/>
      <c r="L63" s="1"/>
      <c r="M63" s="1"/>
      <c r="N63" s="1"/>
      <c r="O63" s="1"/>
      <c r="P63" s="19" t="s">
        <v>142</v>
      </c>
      <c r="Q63" s="30">
        <f t="shared" ca="1" si="2"/>
        <v>1</v>
      </c>
      <c r="R63" s="30">
        <f ca="1">IF(Q63=0,"",COUNTIF($Q$2:Q63,1))</f>
        <v>62</v>
      </c>
      <c r="S63" s="30" t="str">
        <f t="shared" ca="1" si="3"/>
        <v>PAHB</v>
      </c>
      <c r="W63" s="1"/>
      <c r="X63" s="1"/>
      <c r="Y63" s="1"/>
      <c r="Z63" s="1"/>
    </row>
    <row r="64" spans="1:26" ht="16.5" thickBot="1">
      <c r="A64" s="1"/>
      <c r="B64" s="1"/>
      <c r="C64" s="1"/>
      <c r="D64" s="19" t="s">
        <v>167</v>
      </c>
      <c r="E64" s="1"/>
      <c r="F64" s="1"/>
      <c r="G64" s="31" t="s">
        <v>263</v>
      </c>
      <c r="H64" s="1"/>
      <c r="I64" s="1"/>
      <c r="J64" s="1"/>
      <c r="K64" s="1"/>
      <c r="L64" s="1"/>
      <c r="M64" s="1"/>
      <c r="N64" s="1"/>
      <c r="O64" s="1"/>
      <c r="P64" s="19" t="s">
        <v>162</v>
      </c>
      <c r="Q64" s="30">
        <f t="shared" ca="1" si="2"/>
        <v>1</v>
      </c>
      <c r="R64" s="30">
        <f ca="1">IF(Q64=0,"",COUNTIF($Q$2:Q64,1))</f>
        <v>63</v>
      </c>
      <c r="S64" s="30" t="str">
        <f t="shared" ca="1" si="3"/>
        <v>SYFC</v>
      </c>
      <c r="W64" s="1"/>
      <c r="X64" s="1"/>
      <c r="Y64" s="1"/>
      <c r="Z64" s="1"/>
    </row>
    <row r="65" spans="1:26" ht="16.5" thickBot="1">
      <c r="A65" s="1"/>
      <c r="B65" s="1"/>
      <c r="C65" s="1"/>
      <c r="D65" s="19" t="s">
        <v>67</v>
      </c>
      <c r="E65" s="1"/>
      <c r="F65" s="1"/>
      <c r="G65" s="31" t="s">
        <v>264</v>
      </c>
      <c r="H65" s="1"/>
      <c r="I65" s="1"/>
      <c r="J65" s="1"/>
      <c r="K65" s="1"/>
      <c r="L65" s="1"/>
      <c r="M65" s="1"/>
      <c r="N65" s="1"/>
      <c r="O65" s="1"/>
      <c r="P65" s="19" t="s">
        <v>115</v>
      </c>
      <c r="Q65" s="30">
        <f t="shared" ca="1" si="2"/>
        <v>1</v>
      </c>
      <c r="R65" s="30">
        <f ca="1">IF(Q65=0,"",COUNTIF($Q$2:Q65,1))</f>
        <v>64</v>
      </c>
      <c r="S65" s="30" t="str">
        <f t="shared" ca="1" si="3"/>
        <v>JTCWS-HSK</v>
      </c>
      <c r="W65" s="1"/>
      <c r="X65" s="1"/>
      <c r="Y65" s="1"/>
      <c r="Z65" s="1"/>
    </row>
    <row r="66" spans="1:26" ht="16.5" thickBot="1">
      <c r="A66" s="1"/>
      <c r="B66" s="1"/>
      <c r="C66" s="1"/>
      <c r="D66" s="19" t="s">
        <v>142</v>
      </c>
      <c r="E66" s="1"/>
      <c r="F66" s="1"/>
      <c r="G66" s="31" t="s">
        <v>265</v>
      </c>
      <c r="H66" s="1"/>
      <c r="I66" s="1"/>
      <c r="J66" s="1"/>
      <c r="K66" s="1"/>
      <c r="L66" s="1"/>
      <c r="M66" s="1"/>
      <c r="N66" s="1"/>
      <c r="O66" s="1"/>
      <c r="P66" s="19" t="s">
        <v>151</v>
      </c>
      <c r="Q66" s="30">
        <f t="shared" ca="1" si="2"/>
        <v>1</v>
      </c>
      <c r="R66" s="30">
        <f ca="1">IF(Q66=0,"",COUNTIF($Q$2:Q66,1))</f>
        <v>65</v>
      </c>
      <c r="S66" s="30" t="str">
        <f t="shared" ca="1" si="3"/>
        <v>RED CROSS</v>
      </c>
      <c r="W66" s="1"/>
      <c r="X66" s="1"/>
      <c r="Y66" s="1"/>
      <c r="Z66" s="1"/>
    </row>
    <row r="67" spans="1:26" ht="16.5" thickBot="1">
      <c r="A67" s="1"/>
      <c r="B67" s="1"/>
      <c r="C67" s="1"/>
      <c r="D67" s="19" t="s">
        <v>162</v>
      </c>
      <c r="E67" s="1"/>
      <c r="F67" s="1"/>
      <c r="G67" s="31" t="s">
        <v>266</v>
      </c>
      <c r="H67" s="1"/>
      <c r="I67" s="1"/>
      <c r="J67" s="1"/>
      <c r="K67" s="1"/>
      <c r="L67" s="1"/>
      <c r="M67" s="1"/>
      <c r="N67" s="1"/>
      <c r="O67" s="1"/>
      <c r="P67" s="19" t="s">
        <v>55</v>
      </c>
      <c r="Q67" s="30">
        <f t="shared" ca="1" si="2"/>
        <v>1</v>
      </c>
      <c r="R67" s="30">
        <f ca="1">IF(Q67=0,"",COUNTIF($Q$2:Q67,1))</f>
        <v>66</v>
      </c>
      <c r="S67" s="30" t="str">
        <f t="shared" ca="1" si="3"/>
        <v>CARGOTEC</v>
      </c>
      <c r="W67" s="1"/>
      <c r="X67" s="1"/>
      <c r="Y67" s="1"/>
      <c r="Z67" s="1"/>
    </row>
    <row r="68" spans="1:26" ht="16.5" thickBot="1">
      <c r="A68" s="1"/>
      <c r="B68" s="1"/>
      <c r="C68" s="1"/>
      <c r="D68" s="19" t="s">
        <v>115</v>
      </c>
      <c r="E68" s="1"/>
      <c r="F68" s="1"/>
      <c r="G68" s="31" t="s">
        <v>267</v>
      </c>
      <c r="H68" s="1"/>
      <c r="I68" s="1"/>
      <c r="J68" s="1"/>
      <c r="K68" s="1"/>
      <c r="L68" s="1"/>
      <c r="M68" s="1"/>
      <c r="N68" s="1"/>
      <c r="O68" s="1"/>
      <c r="P68" s="19" t="s">
        <v>64</v>
      </c>
      <c r="Q68" s="30">
        <f t="shared" ca="1" si="2"/>
        <v>1</v>
      </c>
      <c r="R68" s="30">
        <f ca="1">IF(Q68=0,"",COUNTIF($Q$2:Q68,1))</f>
        <v>67</v>
      </c>
      <c r="S68" s="30" t="str">
        <f t="shared" ca="1" si="3"/>
        <v>COGNITA FM</v>
      </c>
      <c r="W68" s="1"/>
      <c r="X68" s="1"/>
      <c r="Y68" s="1"/>
      <c r="Z68" s="1"/>
    </row>
    <row r="69" spans="1:26">
      <c r="A69" s="1"/>
      <c r="B69" s="1"/>
      <c r="C69" s="1"/>
      <c r="D69" s="19" t="s">
        <v>151</v>
      </c>
      <c r="E69" s="1"/>
      <c r="F69" s="1"/>
      <c r="G69" s="31" t="s">
        <v>268</v>
      </c>
      <c r="H69" s="1"/>
      <c r="I69" s="1"/>
      <c r="J69" s="1"/>
      <c r="K69" s="1"/>
      <c r="L69" s="1"/>
      <c r="M69" s="1"/>
      <c r="N69" s="1"/>
      <c r="O69" s="1"/>
      <c r="P69" s="19" t="s">
        <v>157</v>
      </c>
      <c r="Q69" s="30">
        <f t="shared" ca="1" si="2"/>
        <v>1</v>
      </c>
      <c r="R69" s="30">
        <f ca="1">IF(Q69=0,"",COUNTIF($Q$2:Q69,1))</f>
        <v>68</v>
      </c>
      <c r="S69" s="30" t="str">
        <f t="shared" ca="1" si="3"/>
        <v>SEAB</v>
      </c>
      <c r="W69" s="1"/>
      <c r="X69" s="1"/>
      <c r="Y69" s="1"/>
      <c r="Z69" s="1"/>
    </row>
    <row r="70" spans="1:26">
      <c r="A70" s="1"/>
      <c r="B70" s="1"/>
      <c r="C70" s="1"/>
      <c r="D70" s="19" t="s">
        <v>55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9" t="s">
        <v>160</v>
      </c>
      <c r="Q70" s="30">
        <f t="shared" ca="1" si="2"/>
        <v>1</v>
      </c>
      <c r="R70" s="30">
        <f ca="1">IF(Q70=0,"",COUNTIF($Q$2:Q70,1))</f>
        <v>69</v>
      </c>
      <c r="S70" s="30" t="str">
        <f t="shared" ca="1" si="3"/>
        <v>SLA</v>
      </c>
      <c r="W70" s="1"/>
      <c r="X70" s="1"/>
      <c r="Y70" s="1"/>
      <c r="Z70" s="1"/>
    </row>
    <row r="71" spans="1:26">
      <c r="A71" s="1"/>
      <c r="B71" s="1"/>
      <c r="C71" s="1"/>
      <c r="D71" s="19" t="s">
        <v>64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9" t="s">
        <v>139</v>
      </c>
      <c r="Q71" s="30">
        <f t="shared" ca="1" si="2"/>
        <v>1</v>
      </c>
      <c r="R71" s="30">
        <f ca="1">IF(Q71=0,"",COUNTIF($Q$2:Q71,1))</f>
        <v>70</v>
      </c>
      <c r="S71" s="30" t="str">
        <f t="shared" ca="1" si="3"/>
        <v>NHB</v>
      </c>
      <c r="W71" s="1"/>
      <c r="X71" s="1"/>
      <c r="Y71" s="1"/>
      <c r="Z71" s="1"/>
    </row>
    <row r="72" spans="1:26">
      <c r="A72" s="1"/>
      <c r="B72" s="1"/>
      <c r="C72" s="1"/>
      <c r="D72" s="19" t="s">
        <v>157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9" t="s">
        <v>74</v>
      </c>
      <c r="Q72" s="30">
        <f t="shared" ca="1" si="2"/>
        <v>1</v>
      </c>
      <c r="R72" s="30">
        <f ca="1">IF(Q72=0,"",COUNTIF($Q$2:Q72,1))</f>
        <v>71</v>
      </c>
      <c r="S72" s="30" t="str">
        <f t="shared" ca="1" si="3"/>
        <v>FM Float Team</v>
      </c>
      <c r="W72" s="1"/>
      <c r="X72" s="1"/>
      <c r="Y72" s="1"/>
      <c r="Z72" s="1"/>
    </row>
    <row r="73" spans="1:26">
      <c r="A73" s="1"/>
      <c r="B73" s="1"/>
      <c r="C73" s="1"/>
      <c r="D73" s="19" t="s">
        <v>160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9" t="s">
        <v>110</v>
      </c>
      <c r="Q73" s="30">
        <f t="shared" ca="1" si="2"/>
        <v>1</v>
      </c>
      <c r="R73" s="30">
        <f ca="1">IF(Q73=0,"",COUNTIF($Q$2:Q73,1))</f>
        <v>72</v>
      </c>
      <c r="S73" s="30" t="str">
        <f t="shared" ca="1" si="3"/>
        <v>IPOS</v>
      </c>
      <c r="W73" s="1"/>
      <c r="X73" s="1"/>
      <c r="Y73" s="1"/>
      <c r="Z73" s="1"/>
    </row>
    <row r="74" spans="1:26">
      <c r="A74" s="1"/>
      <c r="B74" s="1"/>
      <c r="C74" s="1"/>
      <c r="D74" s="19" t="s">
        <v>139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9" t="s">
        <v>107</v>
      </c>
      <c r="Q74" s="30">
        <f t="shared" ca="1" si="2"/>
        <v>1</v>
      </c>
      <c r="R74" s="30">
        <f ca="1">IF(Q74=0,"",COUNTIF($Q$2:Q74,1))</f>
        <v>73</v>
      </c>
      <c r="S74" s="30" t="str">
        <f t="shared" ca="1" si="3"/>
        <v>IFS</v>
      </c>
      <c r="W74" s="1"/>
      <c r="X74" s="1"/>
      <c r="Y74" s="1"/>
      <c r="Z74" s="1"/>
    </row>
    <row r="75" spans="1:26">
      <c r="A75" s="1"/>
      <c r="B75" s="1"/>
      <c r="C75" s="1"/>
      <c r="D75" s="19" t="s">
        <v>74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9" t="s">
        <v>144</v>
      </c>
      <c r="Q75" s="30">
        <f t="shared" ca="1" si="2"/>
        <v>1</v>
      </c>
      <c r="R75" s="30">
        <f ca="1">IF(Q75=0,"",COUNTIF($Q$2:Q75,1))</f>
        <v>74</v>
      </c>
      <c r="S75" s="30" t="str">
        <f t="shared" ca="1" si="3"/>
        <v>PCF</v>
      </c>
      <c r="W75" s="1"/>
      <c r="X75" s="1"/>
      <c r="Y75" s="1"/>
      <c r="Z75" s="1"/>
    </row>
    <row r="76" spans="1:26">
      <c r="A76" s="1"/>
      <c r="B76" s="1"/>
      <c r="C76" s="1"/>
      <c r="D76" s="19" t="s">
        <v>110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9" t="s">
        <v>153</v>
      </c>
      <c r="Q76" s="30">
        <f t="shared" ca="1" si="2"/>
        <v>1</v>
      </c>
      <c r="R76" s="30">
        <f ca="1">IF(Q76=0,"",COUNTIF($Q$2:Q76,1))</f>
        <v>75</v>
      </c>
      <c r="S76" s="30" t="str">
        <f t="shared" ca="1" si="3"/>
        <v>SABANA</v>
      </c>
      <c r="W76" s="1"/>
      <c r="X76" s="1"/>
      <c r="Y76" s="1"/>
      <c r="Z76" s="1"/>
    </row>
    <row r="77" spans="1:26">
      <c r="A77" s="1"/>
      <c r="B77" s="1"/>
      <c r="C77" s="1"/>
      <c r="D77" s="19" t="s">
        <v>107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9" t="s">
        <v>83</v>
      </c>
      <c r="Q77" s="30">
        <f t="shared" ca="1" si="2"/>
        <v>1</v>
      </c>
      <c r="R77" s="30">
        <f ca="1">IF(Q77=0,"",COUNTIF($Q$2:Q77,1))</f>
        <v>76</v>
      </c>
      <c r="S77" s="30" t="str">
        <f t="shared" ca="1" si="3"/>
        <v>GSP</v>
      </c>
      <c r="W77" s="1"/>
      <c r="X77" s="1"/>
      <c r="Y77" s="1"/>
      <c r="Z77" s="1"/>
    </row>
    <row r="78" spans="1:26">
      <c r="A78" s="1"/>
      <c r="B78" s="1"/>
      <c r="C78" s="1"/>
      <c r="D78" s="19" t="s">
        <v>144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9" t="s">
        <v>148</v>
      </c>
      <c r="Q78" s="30">
        <f t="shared" ca="1" si="2"/>
        <v>1</v>
      </c>
      <c r="R78" s="30">
        <f ca="1">IF(Q78=0,"",COUNTIF($Q$2:Q78,1))</f>
        <v>77</v>
      </c>
      <c r="S78" s="30" t="str">
        <f t="shared" ca="1" si="3"/>
        <v>PMC - DISINFECTION</v>
      </c>
      <c r="W78" s="1"/>
      <c r="X78" s="1"/>
      <c r="Y78" s="1"/>
      <c r="Z78" s="1"/>
    </row>
    <row r="79" spans="1:26">
      <c r="A79" s="1"/>
      <c r="B79" s="1"/>
      <c r="C79" s="1"/>
      <c r="D79" s="19" t="s">
        <v>153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9" t="s">
        <v>155</v>
      </c>
      <c r="Q79" s="30">
        <f t="shared" ca="1" si="2"/>
        <v>1</v>
      </c>
      <c r="R79" s="30">
        <f ca="1">IF(Q79=0,"",COUNTIF($Q$2:Q79,1))</f>
        <v>78</v>
      </c>
      <c r="S79" s="30" t="str">
        <f t="shared" ca="1" si="3"/>
        <v>SAM</v>
      </c>
      <c r="W79" s="1"/>
      <c r="X79" s="1"/>
      <c r="Y79" s="1"/>
      <c r="Z79" s="1"/>
    </row>
    <row r="80" spans="1:26">
      <c r="A80" s="1"/>
      <c r="B80" s="1"/>
      <c r="C80" s="1"/>
      <c r="D80" s="19" t="s">
        <v>83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9" t="s">
        <v>154</v>
      </c>
      <c r="Q80" s="30">
        <f t="shared" ca="1" si="2"/>
        <v>1</v>
      </c>
      <c r="R80" s="30">
        <f ca="1">IF(Q80=0,"",COUNTIF($Q$2:Q80,1))</f>
        <v>79</v>
      </c>
      <c r="S80" s="30" t="str">
        <f t="shared" ca="1" si="3"/>
        <v>SABANA PENJURU</v>
      </c>
      <c r="W80" s="1"/>
      <c r="X80" s="1"/>
      <c r="Y80" s="1"/>
      <c r="Z80" s="1"/>
    </row>
    <row r="81" spans="1:26">
      <c r="A81" s="1"/>
      <c r="B81" s="1"/>
      <c r="C81" s="1"/>
      <c r="D81" s="19" t="s">
        <v>148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9" t="s">
        <v>141</v>
      </c>
      <c r="Q81" s="30">
        <f t="shared" ca="1" si="2"/>
        <v>1</v>
      </c>
      <c r="R81" s="30">
        <f ca="1">IF(Q81=0,"",COUNTIF($Q$2:Q81,1))</f>
        <v>80</v>
      </c>
      <c r="S81" s="30" t="str">
        <f t="shared" ca="1" si="3"/>
        <v>PA - CLUSTER</v>
      </c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9" t="s">
        <v>155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9" t="s">
        <v>132</v>
      </c>
      <c r="Q82" s="30">
        <f t="shared" ca="1" si="2"/>
        <v>1</v>
      </c>
      <c r="R82" s="30">
        <f ca="1">IF(Q82=0,"",COUNTIF($Q$2:Q82,1))</f>
        <v>81</v>
      </c>
      <c r="S82" s="30" t="str">
        <f t="shared" ca="1" si="3"/>
        <v>MOHH</v>
      </c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9" t="s">
        <v>154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9" t="s">
        <v>146</v>
      </c>
      <c r="Q83" s="30">
        <f t="shared" ca="1" si="2"/>
        <v>1</v>
      </c>
      <c r="R83" s="30">
        <f ca="1">IF(Q83=0,"",COUNTIF($Q$2:Q83,1))</f>
        <v>82</v>
      </c>
      <c r="S83" s="30" t="str">
        <f t="shared" ca="1" si="3"/>
        <v>PMC - BTR</v>
      </c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9" t="s">
        <v>141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9" t="s">
        <v>147</v>
      </c>
      <c r="Q84" s="30">
        <f t="shared" ca="1" si="2"/>
        <v>1</v>
      </c>
      <c r="R84" s="30">
        <f ca="1">IF(Q84=0,"",COUNTIF($Q$2:Q84,1))</f>
        <v>83</v>
      </c>
      <c r="S84" s="30" t="str">
        <f t="shared" ca="1" si="3"/>
        <v>PMC - CPIB</v>
      </c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9" t="s">
        <v>132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9" t="s">
        <v>150</v>
      </c>
      <c r="Q85" s="30">
        <f t="shared" ca="1" si="2"/>
        <v>1</v>
      </c>
      <c r="R85" s="30">
        <f ca="1">IF(Q85=0,"",COUNTIF($Q$2:Q85,1))</f>
        <v>84</v>
      </c>
      <c r="S85" s="30" t="str">
        <f t="shared" ca="1" si="3"/>
        <v>PMC - PARHSE</v>
      </c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9" t="s">
        <v>146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9" t="s">
        <v>149</v>
      </c>
      <c r="Q86" s="30">
        <f t="shared" ca="1" si="2"/>
        <v>1</v>
      </c>
      <c r="R86" s="30">
        <f ca="1">IF(Q86=0,"",COUNTIF($Q$2:Q86,1))</f>
        <v>85</v>
      </c>
      <c r="S86" s="30" t="str">
        <f t="shared" ca="1" si="3"/>
        <v>PMC - PA Cluster</v>
      </c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9" t="s">
        <v>147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9" t="s">
        <v>125</v>
      </c>
      <c r="Q87" s="30">
        <f t="shared" ca="1" si="2"/>
        <v>1</v>
      </c>
      <c r="R87" s="30">
        <f ca="1">IF(Q87=0,"",COUNTIF($Q$2:Q87,1))</f>
        <v>86</v>
      </c>
      <c r="S87" s="30" t="str">
        <f t="shared" ca="1" si="3"/>
        <v>MAPLETREE - SRG</v>
      </c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9" t="s">
        <v>150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9" t="s">
        <v>184</v>
      </c>
      <c r="Q88" s="30">
        <f t="shared" ca="1" si="2"/>
        <v>1</v>
      </c>
      <c r="R88" s="30">
        <f ca="1">IF(Q88=0,"",COUNTIF($Q$2:Q88,1))</f>
        <v>87</v>
      </c>
      <c r="S88" s="30" t="str">
        <f t="shared" ca="1" si="3"/>
        <v>SPB</v>
      </c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9" t="s">
        <v>149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9" t="s">
        <v>185</v>
      </c>
      <c r="Q89" s="30">
        <f t="shared" ref="Q89:Q120" ca="1" si="4">IF(ISERROR(SEARCH(INDIRECT(CELL("address")),P89:P273)),0,1)</f>
        <v>1</v>
      </c>
      <c r="R89" s="30">
        <f ca="1">IF(Q89=0,"",COUNTIF($Q$2:Q89,1))</f>
        <v>88</v>
      </c>
      <c r="S89" s="30" t="str">
        <f t="shared" ref="S89:S120" ca="1" si="5">IFERROR(INDEX(P:P, MATCH(ROW(R88),R:R,0)),"")</f>
        <v xml:space="preserve">KWSH-M&amp;E </v>
      </c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9" t="s">
        <v>125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9" t="s">
        <v>175</v>
      </c>
      <c r="Q90" s="30">
        <f t="shared" ca="1" si="4"/>
        <v>1</v>
      </c>
      <c r="R90" s="30">
        <f ca="1">IF(Q90=0,"",COUNTIF($Q$2:Q90,1))</f>
        <v>89</v>
      </c>
      <c r="S90" s="30" t="str">
        <f t="shared" ca="1" si="5"/>
        <v>NTUC HEALTH</v>
      </c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9" t="s">
        <v>184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9" t="s">
        <v>176</v>
      </c>
      <c r="Q91" s="30">
        <f t="shared" ca="1" si="4"/>
        <v>1</v>
      </c>
      <c r="R91" s="30">
        <f ca="1">IF(Q91=0,"",COUNTIF($Q$2:Q91,1))</f>
        <v>90</v>
      </c>
      <c r="S91" s="30" t="str">
        <f t="shared" ca="1" si="5"/>
        <v>RC HOTELS</v>
      </c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9" t="s">
        <v>185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9" t="s">
        <v>186</v>
      </c>
      <c r="Q92" s="30">
        <f t="shared" ca="1" si="4"/>
        <v>1</v>
      </c>
      <c r="R92" s="30">
        <f ca="1">IF(Q92=0,"",COUNTIF($Q$2:Q92,1))</f>
        <v>91</v>
      </c>
      <c r="S92" s="30" t="str">
        <f t="shared" ca="1" si="5"/>
        <v>URA</v>
      </c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9" t="s">
        <v>175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9" t="s">
        <v>173</v>
      </c>
      <c r="Q93" s="30">
        <f t="shared" ca="1" si="4"/>
        <v>1</v>
      </c>
      <c r="R93" s="30">
        <f ca="1">IF(Q93=0,"",COUNTIF($Q$2:Q93,1))</f>
        <v>92</v>
      </c>
      <c r="S93" s="30" t="str">
        <f t="shared" ca="1" si="5"/>
        <v>NTUC-MA</v>
      </c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9" t="s">
        <v>176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9" t="s">
        <v>174</v>
      </c>
      <c r="Q94" s="30">
        <f t="shared" ca="1" si="4"/>
        <v>1</v>
      </c>
      <c r="R94" s="30">
        <f ca="1">IF(Q94=0,"",COUNTIF($Q$2:Q94,1))</f>
        <v>93</v>
      </c>
      <c r="S94" s="30" t="str">
        <f t="shared" ca="1" si="5"/>
        <v>CREATE</v>
      </c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9" t="s">
        <v>186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9" t="s">
        <v>193</v>
      </c>
      <c r="Q95" s="30">
        <f t="shared" ca="1" si="4"/>
        <v>1</v>
      </c>
      <c r="R95" s="30">
        <f ca="1">IF(Q95=0,"",COUNTIF($Q$2:Q95,1))</f>
        <v>94</v>
      </c>
      <c r="S95" s="30" t="str">
        <f t="shared" ca="1" si="5"/>
        <v>CCC</v>
      </c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9" t="s">
        <v>173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9" t="s">
        <v>194</v>
      </c>
      <c r="Q96" s="30">
        <f t="shared" ca="1" si="4"/>
        <v>1</v>
      </c>
      <c r="R96" s="30">
        <f ca="1">IF(Q96=0,"",COUNTIF($Q$2:Q96,1))</f>
        <v>95</v>
      </c>
      <c r="S96" s="30" t="str">
        <f t="shared" ca="1" si="5"/>
        <v>KINN-HOTEL</v>
      </c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9" t="s">
        <v>174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9" t="s">
        <v>195</v>
      </c>
      <c r="Q97" s="30">
        <f t="shared" ca="1" si="4"/>
        <v>1</v>
      </c>
      <c r="R97" s="30">
        <f ca="1">IF(Q97=0,"",COUNTIF($Q$2:Q97,1))</f>
        <v>96</v>
      </c>
      <c r="S97" s="30" t="str">
        <f t="shared" ca="1" si="5"/>
        <v>MHA</v>
      </c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9" t="s">
        <v>193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9" t="s">
        <v>196</v>
      </c>
      <c r="Q98" s="30">
        <f t="shared" ca="1" si="4"/>
        <v>1</v>
      </c>
      <c r="R98" s="30">
        <f ca="1">IF(Q98=0,"",COUNTIF($Q$2:Q98,1))</f>
        <v>97</v>
      </c>
      <c r="S98" s="30" t="str">
        <f t="shared" ca="1" si="5"/>
        <v>CCS</v>
      </c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9" t="s">
        <v>194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9" t="s">
        <v>197</v>
      </c>
      <c r="Q99" s="30">
        <f t="shared" ca="1" si="4"/>
        <v>1</v>
      </c>
      <c r="R99" s="30">
        <f ca="1">IF(Q99=0,"",COUNTIF($Q$2:Q99,1))</f>
        <v>98</v>
      </c>
      <c r="S99" s="30" t="str">
        <f t="shared" ca="1" si="5"/>
        <v>PCPH</v>
      </c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9" t="s">
        <v>195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9" t="s">
        <v>198</v>
      </c>
      <c r="Q100" s="30">
        <f t="shared" ca="1" si="4"/>
        <v>1</v>
      </c>
      <c r="R100" s="30">
        <f ca="1">IF(Q100=0,"",COUNTIF($Q$2:Q100,1))</f>
        <v>99</v>
      </c>
      <c r="S100" s="30" t="str">
        <f t="shared" ca="1" si="5"/>
        <v>ALPHA WOMEN</v>
      </c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9" t="s">
        <v>196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9" t="s">
        <v>199</v>
      </c>
      <c r="Q101" s="30">
        <f t="shared" ca="1" si="4"/>
        <v>1</v>
      </c>
      <c r="R101" s="30">
        <f ca="1">IF(Q101=0,"",COUNTIF($Q$2:Q101,1))</f>
        <v>100</v>
      </c>
      <c r="S101" s="30" t="str">
        <f t="shared" ca="1" si="5"/>
        <v>EARLY ASCENT</v>
      </c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9" t="s">
        <v>197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9" t="s">
        <v>200</v>
      </c>
      <c r="Q102" s="30">
        <f t="shared" ca="1" si="4"/>
        <v>1</v>
      </c>
      <c r="R102" s="30">
        <f ca="1">IF(Q102=0,"",COUNTIF($Q$2:Q102,1))</f>
        <v>101</v>
      </c>
      <c r="S102" s="30" t="str">
        <f t="shared" ca="1" si="5"/>
        <v>FLOAT-HEALTHCARE</v>
      </c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9" t="s">
        <v>198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9" t="s">
        <v>201</v>
      </c>
      <c r="Q103" s="30">
        <f t="shared" ca="1" si="4"/>
        <v>1</v>
      </c>
      <c r="R103" s="30">
        <f ca="1">IF(Q103=0,"",COUNTIF($Q$2:Q103,1))</f>
        <v>102</v>
      </c>
      <c r="S103" s="30" t="str">
        <f t="shared" ca="1" si="5"/>
        <v>AERCAP</v>
      </c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9" t="s">
        <v>199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9" t="s">
        <v>202</v>
      </c>
      <c r="Q104" s="30">
        <f t="shared" ca="1" si="4"/>
        <v>1</v>
      </c>
      <c r="R104" s="30">
        <f ca="1">IF(Q104=0,"",COUNTIF($Q$2:Q104,1))</f>
        <v>103</v>
      </c>
      <c r="S104" s="30" t="str">
        <f t="shared" ca="1" si="5"/>
        <v>AIS(COGNITA HSK)</v>
      </c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9" t="s">
        <v>200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9" t="s">
        <v>203</v>
      </c>
      <c r="Q105" s="30">
        <f t="shared" ca="1" si="4"/>
        <v>1</v>
      </c>
      <c r="R105" s="30">
        <f ca="1">IF(Q105=0,"",COUNTIF($Q$2:Q105,1))</f>
        <v>104</v>
      </c>
      <c r="S105" s="30" t="str">
        <f t="shared" ca="1" si="5"/>
        <v>HAIDILAO</v>
      </c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9" t="s">
        <v>201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9" t="s">
        <v>204</v>
      </c>
      <c r="Q106" s="30">
        <f t="shared" ca="1" si="4"/>
        <v>1</v>
      </c>
      <c r="R106" s="30">
        <f ca="1">IF(Q106=0,"",COUNTIF($Q$2:Q106,1))</f>
        <v>105</v>
      </c>
      <c r="S106" s="30" t="str">
        <f t="shared" ca="1" si="5"/>
        <v>HITACHI</v>
      </c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9" t="s">
        <v>202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9" t="s">
        <v>205</v>
      </c>
      <c r="Q107" s="30">
        <f t="shared" ca="1" si="4"/>
        <v>1</v>
      </c>
      <c r="R107" s="30">
        <f ca="1">IF(Q107=0,"",COUNTIF($Q$2:Q107,1))</f>
        <v>106</v>
      </c>
      <c r="S107" s="30" t="str">
        <f t="shared" ca="1" si="5"/>
        <v>DSBJ</v>
      </c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9" t="s">
        <v>203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9" t="s">
        <v>206</v>
      </c>
      <c r="Q108" s="30">
        <f t="shared" ca="1" si="4"/>
        <v>1</v>
      </c>
      <c r="R108" s="30">
        <f ca="1">IF(Q108=0,"",COUNTIF($Q$2:Q108,1))</f>
        <v>107</v>
      </c>
      <c r="S108" s="30" t="str">
        <f t="shared" ca="1" si="5"/>
        <v>C&amp;W</v>
      </c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9" t="s">
        <v>204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9" t="s">
        <v>207</v>
      </c>
      <c r="Q109" s="30">
        <f t="shared" ca="1" si="4"/>
        <v>1</v>
      </c>
      <c r="R109" s="30">
        <f ca="1">IF(Q109=0,"",COUNTIF($Q$2:Q109,1))</f>
        <v>108</v>
      </c>
      <c r="S109" s="30" t="str">
        <f t="shared" ca="1" si="5"/>
        <v>QBC</v>
      </c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9" t="s">
        <v>205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9" t="s">
        <v>208</v>
      </c>
      <c r="Q110" s="30">
        <f t="shared" ca="1" si="4"/>
        <v>1</v>
      </c>
      <c r="R110" s="30">
        <f ca="1">IF(Q110=0,"",COUNTIF($Q$2:Q110,1))</f>
        <v>109</v>
      </c>
      <c r="S110" s="30" t="str">
        <f t="shared" ca="1" si="5"/>
        <v>FIS SYS</v>
      </c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9" t="s">
        <v>206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9" t="s">
        <v>209</v>
      </c>
      <c r="Q111" s="30">
        <f t="shared" ca="1" si="4"/>
        <v>1</v>
      </c>
      <c r="R111" s="30">
        <f ca="1">IF(Q111=0,"",COUNTIF($Q$2:Q111,1))</f>
        <v>110</v>
      </c>
      <c r="S111" s="30" t="str">
        <f t="shared" ca="1" si="5"/>
        <v>KERRY EXPRESS</v>
      </c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9" t="s">
        <v>207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9" t="s">
        <v>210</v>
      </c>
      <c r="Q112" s="30">
        <f t="shared" ca="1" si="4"/>
        <v>1</v>
      </c>
      <c r="R112" s="30">
        <f ca="1">IF(Q112=0,"",COUNTIF($Q$2:Q112,1))</f>
        <v>111</v>
      </c>
      <c r="S112" s="30" t="str">
        <f t="shared" ca="1" si="5"/>
        <v>EATON</v>
      </c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9" t="s">
        <v>208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9" t="s">
        <v>211</v>
      </c>
      <c r="Q113" s="30">
        <f t="shared" ca="1" si="4"/>
        <v>1</v>
      </c>
      <c r="R113" s="30">
        <f ca="1">IF(Q113=0,"",COUNTIF($Q$2:Q113,1))</f>
        <v>112</v>
      </c>
      <c r="S113" s="30" t="str">
        <f t="shared" ca="1" si="5"/>
        <v>PAVE</v>
      </c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9" t="s">
        <v>209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9" t="s">
        <v>212</v>
      </c>
      <c r="Q114" s="30">
        <f t="shared" ca="1" si="4"/>
        <v>1</v>
      </c>
      <c r="R114" s="30">
        <f ca="1">IF(Q114=0,"",COUNTIF($Q$2:Q114,1))</f>
        <v>113</v>
      </c>
      <c r="S114" s="30" t="str">
        <f t="shared" ca="1" si="5"/>
        <v>RCSS</v>
      </c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9" t="s">
        <v>210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9" t="s">
        <v>213</v>
      </c>
      <c r="Q115" s="30">
        <f t="shared" ca="1" si="4"/>
        <v>1</v>
      </c>
      <c r="R115" s="30">
        <f ca="1">IF(Q115=0,"",COUNTIF($Q$2:Q115,1))</f>
        <v>114</v>
      </c>
      <c r="S115" s="30" t="str">
        <f t="shared" ca="1" si="5"/>
        <v>MUFG</v>
      </c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9" t="s">
        <v>211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9" t="s">
        <v>214</v>
      </c>
      <c r="Q116" s="30">
        <f t="shared" ca="1" si="4"/>
        <v>1</v>
      </c>
      <c r="R116" s="30">
        <f ca="1">IF(Q116=0,"",COUNTIF($Q$2:Q116,1))</f>
        <v>115</v>
      </c>
      <c r="S116" s="30" t="str">
        <f t="shared" ca="1" si="5"/>
        <v>CNB</v>
      </c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9" t="s">
        <v>212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9" t="s">
        <v>215</v>
      </c>
      <c r="Q117" s="30">
        <f t="shared" ca="1" si="4"/>
        <v>1</v>
      </c>
      <c r="R117" s="30">
        <f ca="1">IF(Q117=0,"",COUNTIF($Q$2:Q117,1))</f>
        <v>116</v>
      </c>
      <c r="S117" s="30" t="str">
        <f t="shared" ca="1" si="5"/>
        <v>MTI-DOS</v>
      </c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9" t="s">
        <v>213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9" t="s">
        <v>216</v>
      </c>
      <c r="Q118" s="30">
        <f t="shared" ca="1" si="4"/>
        <v>1</v>
      </c>
      <c r="R118" s="30">
        <f ca="1">IF(Q118=0,"",COUNTIF($Q$2:Q118,1))</f>
        <v>117</v>
      </c>
      <c r="S118" s="30" t="str">
        <f t="shared" ca="1" si="5"/>
        <v>SABANA-HSK</v>
      </c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9" t="s">
        <v>214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9" t="s">
        <v>217</v>
      </c>
      <c r="Q119" s="30">
        <f t="shared" ca="1" si="4"/>
        <v>1</v>
      </c>
      <c r="R119" s="30">
        <f ca="1">IF(Q119=0,"",COUNTIF($Q$2:Q119,1))</f>
        <v>118</v>
      </c>
      <c r="S119" s="30" t="str">
        <f t="shared" ca="1" si="5"/>
        <v>Metta Sch</v>
      </c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9" t="s">
        <v>215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9" t="s">
        <v>218</v>
      </c>
      <c r="Q120" s="30">
        <f t="shared" ca="1" si="4"/>
        <v>1</v>
      </c>
      <c r="R120" s="30">
        <f ca="1">IF(Q120=0,"",COUNTIF($Q$2:Q120,1))</f>
        <v>119</v>
      </c>
      <c r="S120" s="30" t="str">
        <f t="shared" ca="1" si="5"/>
        <v>URA-HSK</v>
      </c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9" t="s">
        <v>216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9" t="s">
        <v>219</v>
      </c>
      <c r="Q121" s="30">
        <f t="shared" ref="Q121:Q152" ca="1" si="6">IF(ISERROR(SEARCH(INDIRECT(CELL("address")),P121:P305)),0,1)</f>
        <v>1</v>
      </c>
      <c r="R121" s="30">
        <f ca="1">IF(Q121=0,"",COUNTIF($Q$2:Q121,1))</f>
        <v>120</v>
      </c>
      <c r="S121" s="30" t="str">
        <f t="shared" ref="S121:S152" ca="1" si="7">IFERROR(INDEX(P:P, MATCH(ROW(R120),R:R,0)),"")</f>
        <v>SAM-HSK</v>
      </c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9" t="s">
        <v>217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9" t="s">
        <v>220</v>
      </c>
      <c r="Q122" s="30">
        <f t="shared" ca="1" si="6"/>
        <v>1</v>
      </c>
      <c r="R122" s="30">
        <f ca="1">IF(Q122=0,"",COUNTIF($Q$2:Q122,1))</f>
        <v>121</v>
      </c>
      <c r="S122" s="30" t="str">
        <f t="shared" ca="1" si="7"/>
        <v>BCS</v>
      </c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9" t="s">
        <v>218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9" t="s">
        <v>221</v>
      </c>
      <c r="Q123" s="30">
        <f t="shared" ca="1" si="6"/>
        <v>1</v>
      </c>
      <c r="R123" s="30">
        <f ca="1">IF(Q123=0,"",COUNTIF($Q$2:Q123,1))</f>
        <v>122</v>
      </c>
      <c r="S123" s="30" t="str">
        <f t="shared" ca="1" si="7"/>
        <v>HQ-HOSPCOM</v>
      </c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9" t="s">
        <v>219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9" t="s">
        <v>222</v>
      </c>
      <c r="Q124" s="30">
        <f t="shared" ca="1" si="6"/>
        <v>1</v>
      </c>
      <c r="R124" s="30">
        <f ca="1">IF(Q124=0,"",COUNTIF($Q$2:Q124,1))</f>
        <v>123</v>
      </c>
      <c r="S124" s="30" t="str">
        <f t="shared" ca="1" si="7"/>
        <v>KWSH-M&amp;E</v>
      </c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9" t="s">
        <v>220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9" t="s">
        <v>223</v>
      </c>
      <c r="Q125" s="30">
        <f t="shared" ca="1" si="6"/>
        <v>1</v>
      </c>
      <c r="R125" s="30">
        <f ca="1">IF(Q125=0,"",COUNTIF($Q$2:Q125,1))</f>
        <v>124</v>
      </c>
      <c r="S125" s="30" t="str">
        <f t="shared" ca="1" si="7"/>
        <v>SPORTSG</v>
      </c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9" t="s">
        <v>221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9" t="s">
        <v>224</v>
      </c>
      <c r="Q126" s="30">
        <f t="shared" ca="1" si="6"/>
        <v>1</v>
      </c>
      <c r="R126" s="30">
        <f ca="1">IF(Q126=0,"",COUNTIF($Q$2:Q126,1))</f>
        <v>125</v>
      </c>
      <c r="S126" s="30" t="str">
        <f t="shared" ca="1" si="7"/>
        <v>MUIS</v>
      </c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9" t="s">
        <v>222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9" t="s">
        <v>225</v>
      </c>
      <c r="Q127" s="30">
        <f t="shared" ca="1" si="6"/>
        <v>1</v>
      </c>
      <c r="R127" s="30">
        <f ca="1">IF(Q127=0,"",COUNTIF($Q$2:Q127,1))</f>
        <v>126</v>
      </c>
      <c r="S127" s="30" t="str">
        <f t="shared" ca="1" si="7"/>
        <v>EDMUNDTIE</v>
      </c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9" t="s">
        <v>223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9" t="s">
        <v>224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9" t="s">
        <v>225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P1001" s="1"/>
      <c r="Q1001" s="1"/>
      <c r="R1001" s="1"/>
      <c r="S1001" s="1"/>
    </row>
    <row r="1002" spans="1:26" ht="15.75" customHeight="1">
      <c r="P1002" s="1"/>
      <c r="Q1002" s="1"/>
      <c r="R1002" s="1"/>
      <c r="S1002" s="1"/>
    </row>
    <row r="1003" spans="1:26" ht="15.75" customHeight="1">
      <c r="P1003" s="1"/>
      <c r="Q1003" s="1"/>
      <c r="R1003" s="1"/>
      <c r="S1003" s="1"/>
    </row>
    <row r="1004" spans="1:26" ht="15.75" customHeight="1">
      <c r="P1004" s="1"/>
      <c r="Q1004" s="1"/>
      <c r="R1004" s="1"/>
      <c r="S1004" s="1"/>
    </row>
    <row r="1005" spans="1:26" ht="15.75" customHeight="1">
      <c r="P1005" s="1"/>
      <c r="Q1005" s="1"/>
      <c r="R1005" s="1"/>
      <c r="S1005" s="1"/>
    </row>
    <row r="1006" spans="1:26" ht="15.75" customHeight="1">
      <c r="P1006" s="1"/>
      <c r="Q1006" s="1"/>
      <c r="R1006" s="1"/>
      <c r="S1006" s="1"/>
    </row>
    <row r="1007" spans="1:26" ht="15.75" customHeight="1">
      <c r="P1007" s="1"/>
      <c r="Q1007" s="1"/>
      <c r="R1007" s="1"/>
      <c r="S1007" s="1"/>
    </row>
    <row r="1008" spans="1:26" ht="15.75" customHeight="1">
      <c r="P1008" s="1"/>
      <c r="Q1008" s="1"/>
      <c r="R1008" s="1"/>
      <c r="S1008" s="1"/>
    </row>
    <row r="1009" spans="16:19" ht="15.75" customHeight="1">
      <c r="P1009" s="1"/>
      <c r="Q1009" s="1"/>
      <c r="R1009" s="1"/>
      <c r="S1009" s="1"/>
    </row>
    <row r="1010" spans="16:19" ht="15.75" customHeight="1">
      <c r="P1010" s="1"/>
      <c r="Q1010" s="1"/>
      <c r="R1010" s="1"/>
      <c r="S1010" s="1"/>
    </row>
    <row r="1011" spans="16:19" ht="15.75" customHeight="1">
      <c r="P1011" s="1"/>
      <c r="Q1011" s="1"/>
      <c r="R1011" s="1"/>
      <c r="S1011" s="1"/>
    </row>
    <row r="1012" spans="16:19" ht="15.75" customHeight="1">
      <c r="P1012" s="1"/>
      <c r="Q1012" s="1"/>
      <c r="R1012" s="1"/>
      <c r="S1012" s="1"/>
    </row>
    <row r="1013" spans="16:19" ht="15.75" customHeight="1">
      <c r="P1013" s="1"/>
      <c r="Q1013" s="1"/>
      <c r="R1013" s="1"/>
      <c r="S1013" s="1"/>
    </row>
    <row r="1014" spans="16:19" ht="15.75" customHeight="1">
      <c r="P1014" s="1"/>
      <c r="Q1014" s="1"/>
      <c r="R1014" s="1"/>
      <c r="S1014" s="1"/>
    </row>
    <row r="1015" spans="16:19" ht="15.75" customHeight="1">
      <c r="P1015" s="1"/>
      <c r="Q1015" s="1"/>
      <c r="R1015" s="1"/>
      <c r="S1015" s="1"/>
    </row>
    <row r="1016" spans="16:19" ht="15.75" customHeight="1">
      <c r="P1016" s="1"/>
      <c r="Q1016" s="1"/>
      <c r="R1016" s="1"/>
      <c r="S1016" s="1"/>
    </row>
    <row r="1017" spans="16:19" ht="15.75" customHeight="1">
      <c r="P1017" s="1"/>
      <c r="Q1017" s="1"/>
      <c r="R1017" s="1"/>
      <c r="S1017" s="1"/>
    </row>
    <row r="1018" spans="16:19" ht="15.75" customHeight="1">
      <c r="P1018" s="1"/>
      <c r="Q1018" s="1"/>
      <c r="R1018" s="1"/>
      <c r="S1018" s="1"/>
    </row>
    <row r="1019" spans="16:19" ht="15.75" customHeight="1">
      <c r="P1019" s="1"/>
      <c r="Q1019" s="1"/>
      <c r="R1019" s="1"/>
      <c r="S1019" s="1"/>
    </row>
    <row r="1020" spans="16:19" ht="15.75" customHeight="1">
      <c r="P1020" s="1"/>
      <c r="Q1020" s="1"/>
      <c r="R1020" s="1"/>
      <c r="S1020" s="1"/>
    </row>
    <row r="1021" spans="16:19" ht="15.75" customHeight="1">
      <c r="P1021" s="1"/>
      <c r="Q1021" s="1"/>
      <c r="R1021" s="1"/>
      <c r="S1021" s="1"/>
    </row>
    <row r="1022" spans="16:19" ht="15.75" customHeight="1">
      <c r="P1022" s="1"/>
      <c r="Q1022" s="1"/>
      <c r="R1022" s="1"/>
      <c r="S1022" s="1"/>
    </row>
    <row r="1023" spans="16:19" ht="15.75" customHeight="1">
      <c r="P1023" s="1"/>
      <c r="Q1023" s="1"/>
      <c r="R1023" s="1"/>
      <c r="S1023" s="1"/>
    </row>
    <row r="1024" spans="16:19" ht="15.75" customHeight="1">
      <c r="P1024" s="1"/>
      <c r="Q1024" s="1"/>
      <c r="R1024" s="1"/>
      <c r="S1024" s="1"/>
    </row>
    <row r="1025" spans="16:19" ht="15.75" customHeight="1">
      <c r="P1025" s="1"/>
      <c r="Q1025" s="1"/>
      <c r="R1025" s="1"/>
      <c r="S1025" s="1"/>
    </row>
    <row r="1026" spans="16:19" ht="15.75" customHeight="1">
      <c r="P1026" s="1"/>
      <c r="Q1026" s="1"/>
      <c r="R1026" s="1"/>
      <c r="S1026" s="1"/>
    </row>
    <row r="1027" spans="16:19" ht="15.75" customHeight="1">
      <c r="P1027" s="1"/>
      <c r="Q1027" s="1"/>
      <c r="R1027" s="1"/>
      <c r="S1027" s="1"/>
    </row>
    <row r="1028" spans="16:19" ht="15.75" customHeight="1">
      <c r="P1028" s="1"/>
      <c r="Q1028" s="1"/>
      <c r="R1028" s="1"/>
      <c r="S1028" s="1"/>
    </row>
    <row r="1029" spans="16:19" ht="15.75" customHeight="1">
      <c r="P1029" s="1"/>
      <c r="Q1029" s="1"/>
      <c r="R1029" s="1"/>
      <c r="S1029" s="1"/>
    </row>
    <row r="1030" spans="16:19" ht="15.75" customHeight="1">
      <c r="P1030" s="1"/>
      <c r="Q1030" s="1"/>
      <c r="R1030" s="1"/>
      <c r="S1030" s="1"/>
    </row>
    <row r="1031" spans="16:19" ht="15.75" customHeight="1">
      <c r="P1031" s="1"/>
      <c r="Q1031" s="1"/>
      <c r="R1031" s="1"/>
      <c r="S1031" s="1"/>
    </row>
    <row r="1032" spans="16:19" ht="15.75" customHeight="1">
      <c r="P1032" s="1"/>
      <c r="Q1032" s="1"/>
      <c r="R1032" s="1"/>
      <c r="S1032" s="1"/>
    </row>
    <row r="1033" spans="16:19" ht="15.75" customHeight="1">
      <c r="P1033" s="1"/>
      <c r="Q1033" s="1"/>
      <c r="R1033" s="1"/>
      <c r="S1033" s="1"/>
    </row>
    <row r="1034" spans="16:19" ht="15.75" customHeight="1">
      <c r="P1034" s="1"/>
      <c r="Q1034" s="1"/>
      <c r="R1034" s="1"/>
      <c r="S1034" s="1"/>
    </row>
    <row r="1035" spans="16:19" ht="15.75" customHeight="1">
      <c r="P1035" s="1"/>
      <c r="Q1035" s="1"/>
      <c r="R1035" s="1"/>
      <c r="S1035" s="1"/>
    </row>
    <row r="1036" spans="16:19" ht="15.75" customHeight="1">
      <c r="P1036" s="1"/>
      <c r="Q1036" s="1"/>
      <c r="R1036" s="1"/>
      <c r="S1036" s="1"/>
    </row>
    <row r="1037" spans="16:19" ht="15.75" customHeight="1">
      <c r="P1037" s="1"/>
      <c r="Q1037" s="1"/>
      <c r="R1037" s="1"/>
      <c r="S1037" s="1"/>
    </row>
    <row r="1038" spans="16:19" ht="15.75" customHeight="1">
      <c r="P1038" s="1"/>
      <c r="Q1038" s="1"/>
      <c r="R1038" s="1"/>
      <c r="S1038" s="1"/>
    </row>
    <row r="1039" spans="16:19" ht="15.75" customHeight="1">
      <c r="P1039" s="1"/>
      <c r="Q1039" s="1"/>
      <c r="R1039" s="1"/>
      <c r="S1039" s="1"/>
    </row>
    <row r="1040" spans="16:19" ht="15.75" customHeight="1">
      <c r="P1040" s="1"/>
      <c r="Q1040" s="1"/>
      <c r="R1040" s="1"/>
      <c r="S1040" s="1"/>
    </row>
    <row r="1041" spans="16:19" ht="15.75" customHeight="1">
      <c r="P1041" s="1"/>
      <c r="Q1041" s="1"/>
      <c r="R1041" s="1"/>
      <c r="S1041" s="1"/>
    </row>
    <row r="1042" spans="16:19" ht="15.75" customHeight="1">
      <c r="P1042" s="1"/>
      <c r="Q1042" s="1"/>
      <c r="R1042" s="1"/>
      <c r="S1042" s="1"/>
    </row>
    <row r="1043" spans="16:19" ht="15.75" customHeight="1">
      <c r="P1043" s="1"/>
      <c r="Q1043" s="1"/>
      <c r="R1043" s="1"/>
      <c r="S1043" s="1"/>
    </row>
    <row r="1044" spans="16:19" ht="15.75" customHeight="1">
      <c r="P1044" s="1"/>
      <c r="Q1044" s="1"/>
      <c r="R1044" s="1"/>
      <c r="S1044" s="1"/>
    </row>
    <row r="1045" spans="16:19" ht="15.75" customHeight="1">
      <c r="P1045" s="1"/>
      <c r="Q1045" s="1"/>
      <c r="R1045" s="1"/>
      <c r="S1045" s="1"/>
    </row>
    <row r="1046" spans="16:19" ht="15.75" customHeight="1">
      <c r="P1046" s="1"/>
      <c r="Q1046" s="1"/>
      <c r="R1046" s="1"/>
      <c r="S1046" s="1"/>
    </row>
    <row r="1047" spans="16:19" ht="15.75" customHeight="1">
      <c r="P1047" s="1"/>
      <c r="Q1047" s="1"/>
      <c r="R1047" s="1"/>
      <c r="S1047" s="1"/>
    </row>
    <row r="1048" spans="16:19" ht="15.75" customHeight="1">
      <c r="P1048" s="1"/>
      <c r="Q1048" s="1"/>
      <c r="R1048" s="1"/>
      <c r="S1048" s="1"/>
    </row>
    <row r="1049" spans="16:19" ht="15.75" customHeight="1">
      <c r="P1049" s="1"/>
      <c r="Q1049" s="1"/>
      <c r="R1049" s="1"/>
      <c r="S1049" s="1"/>
    </row>
    <row r="1050" spans="16:19" ht="15.75" customHeight="1">
      <c r="P1050" s="1"/>
      <c r="Q1050" s="1"/>
      <c r="R1050" s="1"/>
      <c r="S1050" s="1"/>
    </row>
    <row r="1051" spans="16:19" ht="15.75" customHeight="1">
      <c r="P1051" s="1"/>
      <c r="Q1051" s="1"/>
      <c r="R1051" s="1"/>
      <c r="S1051" s="1"/>
    </row>
    <row r="1052" spans="16:19" ht="15.75" customHeight="1">
      <c r="P1052" s="1"/>
      <c r="Q1052" s="1"/>
      <c r="R1052" s="1"/>
      <c r="S1052" s="1"/>
    </row>
    <row r="1053" spans="16:19" ht="15.75" customHeight="1">
      <c r="P1053" s="1"/>
      <c r="Q1053" s="1"/>
      <c r="R1053" s="1"/>
      <c r="S1053" s="1"/>
    </row>
    <row r="1054" spans="16:19" ht="15.75" customHeight="1">
      <c r="P1054" s="1"/>
      <c r="Q1054" s="1"/>
      <c r="R1054" s="1"/>
      <c r="S1054" s="1"/>
    </row>
    <row r="1055" spans="16:19" ht="15.75" customHeight="1">
      <c r="P1055" s="1"/>
      <c r="Q1055" s="1"/>
      <c r="R1055" s="1"/>
      <c r="S1055" s="1"/>
    </row>
    <row r="1056" spans="16:19" ht="15.75" customHeight="1">
      <c r="P1056" s="1"/>
      <c r="Q1056" s="1"/>
      <c r="R1056" s="1"/>
      <c r="S1056" s="1"/>
    </row>
    <row r="1057" spans="16:19" ht="15.75" customHeight="1">
      <c r="P1057" s="1"/>
      <c r="Q1057" s="1"/>
      <c r="R1057" s="1"/>
      <c r="S1057" s="1"/>
    </row>
    <row r="1058" spans="16:19" ht="15.75" customHeight="1">
      <c r="P1058" s="1"/>
      <c r="Q1058" s="1"/>
      <c r="R1058" s="1"/>
      <c r="S1058" s="1"/>
    </row>
    <row r="1059" spans="16:19" ht="15.75" customHeight="1">
      <c r="P1059" s="1"/>
      <c r="Q1059" s="1"/>
      <c r="R1059" s="1"/>
      <c r="S1059" s="1"/>
    </row>
    <row r="1060" spans="16:19" ht="15.75" customHeight="1">
      <c r="P1060" s="1"/>
      <c r="Q1060" s="1"/>
      <c r="R1060" s="1"/>
      <c r="S1060" s="1"/>
    </row>
    <row r="1061" spans="16:19" ht="15.75" customHeight="1">
      <c r="P1061" s="1"/>
      <c r="Q1061" s="1"/>
      <c r="R1061" s="1"/>
      <c r="S1061" s="1"/>
    </row>
    <row r="1062" spans="16:19" ht="15.75" customHeight="1">
      <c r="P1062" s="1"/>
      <c r="Q1062" s="1"/>
      <c r="R1062" s="1"/>
      <c r="S1062" s="1"/>
    </row>
    <row r="1063" spans="16:19" ht="15.75" customHeight="1">
      <c r="P1063" s="1"/>
      <c r="Q1063" s="1"/>
      <c r="R1063" s="1"/>
      <c r="S1063" s="1"/>
    </row>
    <row r="1064" spans="16:19" ht="15.75" customHeight="1">
      <c r="P1064" s="1"/>
      <c r="Q1064" s="1"/>
      <c r="R1064" s="1"/>
      <c r="S1064" s="1"/>
    </row>
    <row r="1065" spans="16:19" ht="15.75" customHeight="1">
      <c r="P1065" s="1"/>
      <c r="Q1065" s="1"/>
      <c r="R1065" s="1"/>
      <c r="S1065" s="1"/>
    </row>
    <row r="1066" spans="16:19" ht="15.75" customHeight="1">
      <c r="P1066" s="1"/>
      <c r="Q1066" s="1"/>
      <c r="R1066" s="1"/>
      <c r="S1066" s="1"/>
    </row>
    <row r="1067" spans="16:19" ht="15.75" customHeight="1">
      <c r="P1067" s="1"/>
      <c r="Q1067" s="1"/>
      <c r="R1067" s="1"/>
      <c r="S1067" s="1"/>
    </row>
    <row r="1068" spans="16:19" ht="15.75" customHeight="1">
      <c r="P1068" s="1"/>
      <c r="Q1068" s="1"/>
      <c r="R1068" s="1"/>
      <c r="S1068" s="1"/>
    </row>
    <row r="1069" spans="16:19" ht="15.75" customHeight="1">
      <c r="P1069" s="1"/>
      <c r="Q1069" s="1"/>
      <c r="R1069" s="1"/>
      <c r="S1069" s="1"/>
    </row>
    <row r="1070" spans="16:19" ht="15.75" customHeight="1">
      <c r="P1070" s="1"/>
      <c r="Q1070" s="1"/>
      <c r="R1070" s="1"/>
      <c r="S1070" s="1"/>
    </row>
    <row r="1071" spans="16:19" ht="15.75" customHeight="1">
      <c r="P1071" s="1"/>
      <c r="Q1071" s="1"/>
      <c r="R1071" s="1"/>
      <c r="S1071" s="1"/>
    </row>
  </sheetData>
  <conditionalFormatting sqref="D5:D130">
    <cfRule type="duplicateValues" dxfId="25" priority="25"/>
  </conditionalFormatting>
  <conditionalFormatting sqref="D5:D130">
    <cfRule type="duplicateValues" dxfId="24" priority="24"/>
  </conditionalFormatting>
  <conditionalFormatting sqref="P2:P127">
    <cfRule type="duplicateValues" dxfId="23" priority="23"/>
  </conditionalFormatting>
  <conditionalFormatting sqref="P2:P127">
    <cfRule type="duplicateValues" dxfId="22" priority="22"/>
  </conditionalFormatting>
  <conditionalFormatting sqref="G5:G69">
    <cfRule type="duplicateValues" dxfId="20" priority="21"/>
  </conditionalFormatting>
  <conditionalFormatting sqref="G27">
    <cfRule type="duplicateValues" dxfId="19" priority="20"/>
  </conditionalFormatting>
  <conditionalFormatting sqref="G27">
    <cfRule type="duplicateValues" dxfId="18" priority="19"/>
  </conditionalFormatting>
  <conditionalFormatting sqref="G28">
    <cfRule type="duplicateValues" dxfId="17" priority="18"/>
  </conditionalFormatting>
  <conditionalFormatting sqref="G28">
    <cfRule type="duplicateValues" dxfId="16" priority="17"/>
  </conditionalFormatting>
  <conditionalFormatting sqref="G29:G30">
    <cfRule type="duplicateValues" dxfId="15" priority="16"/>
  </conditionalFormatting>
  <conditionalFormatting sqref="G29:G30">
    <cfRule type="duplicateValues" dxfId="14" priority="15"/>
  </conditionalFormatting>
  <conditionalFormatting sqref="G31">
    <cfRule type="duplicateValues" dxfId="13" priority="14"/>
  </conditionalFormatting>
  <conditionalFormatting sqref="G31">
    <cfRule type="duplicateValues" dxfId="12" priority="13"/>
  </conditionalFormatting>
  <conditionalFormatting sqref="G32:G36">
    <cfRule type="duplicateValues" dxfId="11" priority="12"/>
  </conditionalFormatting>
  <conditionalFormatting sqref="G32:G36">
    <cfRule type="duplicateValues" dxfId="10" priority="11"/>
  </conditionalFormatting>
  <conditionalFormatting sqref="G37:G42">
    <cfRule type="duplicateValues" dxfId="9" priority="10"/>
  </conditionalFormatting>
  <conditionalFormatting sqref="G37:G42">
    <cfRule type="duplicateValues" dxfId="8" priority="9"/>
  </conditionalFormatting>
  <conditionalFormatting sqref="G43:G53">
    <cfRule type="duplicateValues" dxfId="7" priority="8"/>
  </conditionalFormatting>
  <conditionalFormatting sqref="G43:G53">
    <cfRule type="duplicateValues" dxfId="6" priority="7"/>
  </conditionalFormatting>
  <conditionalFormatting sqref="G54:G63">
    <cfRule type="duplicateValues" dxfId="5" priority="6"/>
  </conditionalFormatting>
  <conditionalFormatting sqref="G54:G63">
    <cfRule type="duplicateValues" dxfId="4" priority="5"/>
  </conditionalFormatting>
  <conditionalFormatting sqref="G64">
    <cfRule type="duplicateValues" dxfId="3" priority="4"/>
  </conditionalFormatting>
  <conditionalFormatting sqref="G64">
    <cfRule type="duplicateValues" dxfId="2" priority="3"/>
  </conditionalFormatting>
  <conditionalFormatting sqref="G65:G69">
    <cfRule type="duplicateValues" dxfId="1" priority="2"/>
  </conditionalFormatting>
  <conditionalFormatting sqref="G65:G69">
    <cfRule type="duplicateValues" dxfId="0" priority="1"/>
  </conditionalFormatting>
  <dataValidations count="10">
    <dataValidation type="list" allowBlank="1" sqref="C3" xr:uid="{00000000-0002-0000-0100-000000000000}">
      <formula1>"Private Car,Motor Bike"</formula1>
    </dataValidation>
    <dataValidation type="list" allowBlank="1" sqref="D3" xr:uid="{00000000-0002-0000-0100-000001000000}">
      <formula1>"AH HSK,AH STW,AH UET,AIS,AMARA SC,ASSISI,BMH,BTR IFM,BVH,CARGOTEC,CGH HSK,CGH UET,COGNITA FM,CPIB,EFM (HRCT),FLOAT TEAM,FM Float Team,FM MA,General,GSP,HPB,HQ BD-EVM,HQ BD-FM,HQ EVM,HQ FM,HQ-Finance,HQ-HR Recruitment,HQ-HR Support Services,HQ-HR Training,"&amp;"HQ-Procurement,HQ-Tech Services,HQ-Technology Services,HRD,IFS,INNO-P,IPOS,JTC SENOKO,JTC Senoko - HSK,JTCWS,JTCWS-HSK,KKWCH,KTP,KTPH - UET,KTPPRO,MAPLETREE,MAPLETREE - SRG,MAYBANK ATM,MFT,MITSUI HOUSE,MND,MOHH,MOHH BBWNH,MOHH PHCH,MOHH SENJA,MOHH TCH,MOH"&amp;"H WNH,MPA,MUSEUM - IC,NCR,NHB,NTFGH - STW,NTUC INCOME EPM,NUH,NUH UET,PA - CLUSTER,PA THUB,PAHB,PARLIAMENT,PCF,PMC,PMC - BlueSG,PMC - BTR,PMC - CPIB,PMC - DISINFECTION,PMC - OTH,PMC - PA Cluster,PMC - PARHSE,RED CROSS,REN CI,SABANA,SABANA PENJURU,SABANA T"&amp;"UAS,SAM,SBWS,SEAB,SGH VMS,SHP,SKGH HA,SKGH HSK - GH,SKGH UET,SLA,St Luke ElderCare,StarMed,Store,SYFC,TTSH HA,TTSH HA - COVID-19,TTSH UET,TTSH UET - COVID-19,TZU CHI,UEBHC,WT,YCH"</formula1>
    </dataValidation>
    <dataValidation type="list" allowBlank="1" sqref="G3" xr:uid="{00000000-0002-0000-0100-000002000000}">
      <formula1>"Accommodation SHN,Contract Labour,Donations,Durables - new fixed assets &lt; $2000,Employee Recreation Welfare,Entertainment,Medical,Postages &amp; courier services,Printing &amp; stationery,Recruitment,Repairs &amp; maintenance - motor vehicles,Subscriptions - company "&amp;"memberships,Subscriptions - employee memberships,Supplies,Telecommunication charges,Tendering expenses,Training &amp; Education,Travelling expenses - local transport,Travelling expenses - private vehicle,Travelling Private Car,Uniforms,Utilities - electricity"&amp;"/water,"</formula1>
    </dataValidation>
    <dataValidation type="list" allowBlank="1" sqref="J3" xr:uid="{00000000-0002-0000-0100-000003000000}">
      <formula1>"7931,7047,7065,7083,7108,7126,7418,9353,7986,7214,9201,8606,7135,7171,7463,7737,7764,7287,7232,9548,9186,7241,7250,8712,8350,7153,7490,9636,7302,7621,8077,8518,7339,7056,9326,7366,8527,7852,9496,7144,7791,7472,8493,7092,7685,7357,8855,7375"</formula1>
    </dataValidation>
    <dataValidation type="list" allowBlank="1" sqref="K3" xr:uid="{00000000-0002-0000-0100-000004000000}">
      <formula1>"Finance,HR,User"</formula1>
    </dataValidation>
    <dataValidation type="list" allowBlank="1" sqref="F3" xr:uid="{00000000-0002-0000-0100-000005000000}">
      <formula1>"Telecommunication charges"</formula1>
    </dataValidation>
    <dataValidation type="list" allowBlank="1" sqref="H3" xr:uid="{00000000-0002-0000-0100-000006000000}">
      <formula1>"Fast Payment,PayNow,GIRO,TT,RTGS"</formula1>
    </dataValidation>
    <dataValidation type="list" allowBlank="1" sqref="E3" xr:uid="{00000000-0002-0000-0100-000007000000}">
      <formula1>"AH HSK,AIS,BTR,BTRMA,BVH,CGH UET,EFM,HQ,HQ- FM,HQ-EVM,HQ-Finance,HQ-FM,HQ-FM MA,HQ-HR Support Services,HQ-Procurement,JTC-SENOKO,JTCW,JTCWS,KKH,KTPH UET,MFT,MND,MPA,NTFGH-STW,NUH UET,PA CLUSTER,PA THUB,PAHB,PARLIAMENT HOUSE,SEAB,SGH-VMS,SHP,SKH HSK,SKH UE"&amp;"T,STARMED,Training,TTSH UET,"</formula1>
    </dataValidation>
    <dataValidation type="list" allowBlank="1" sqref="B3" xr:uid="{00000000-0002-0000-0100-000008000000}">
      <formula1>"Expense,Petty Cash"</formula1>
    </dataValidation>
    <dataValidation type="list" allowBlank="1" sqref="I3" xr:uid="{00000000-0002-0000-0100-000009000000}">
      <formula1>"Australia &amp; New Zealand Banking Group Limited,Bangkok Bank Public Company Limited,Bank Of America. N.A.,Bank Of China Limited,Bank Of India,Bank Of Tokyo-Mitsubishi UFJ. Limited,BNP Paribas,Chinatrust Commercial Bank Co. Limited,CIMB Bank Berhad,Citibank "&amp;"N.A. Singapore Branch,Citibank Singapore Limited,Commerzbank Aktiengesellschaft,Crédit Agricole Corporate And Investment Bank,DBS Bank Limited,Deutsche Bank AG,DNB Bank ASA,First Commercial Bank,HL Bank,Hongkong And Shanghai Banking Corporation Limited (C"&amp;"orporate),HSBC Bank (Singapore) Limited (Personal),ICICI Bank Limited,Indian Bank,Indian Overseas Bank,Industrial &amp; Commercial Bank Of China,Intesa Sanpaolo S.P.A.,JPMorgan Chase Bank. N.A.,Korea Exchange Bank,Malayan Banking Berhad,Maybank Singapore Limi"&amp;"ted,Mizuho Bank Limited,National Australia Bank Limited,Nordea Bank Finland PLC,Oversea-Chinese Banking Corpn Limited,PT Bank Negara Indonesia(Persero) TBK,Qatar National Bank SAQ,RHB Bank Berhad,Skandinaviska Enskilda Banken AB (Publ),Societe Generale,St"&amp;"andard Chartered Bank. (Singapore) Limited,Standard Chartered Bank. Singapore Branch,State Bank Of India,Sumitomo Mitsui Banking Corporation,Svenska Handelsbanken AB (Publ),The Bank Of East Asia Limited,UBS AG,UCO Bank,UniCredit Bank AG,United Overseas Ba"&amp;"nk Limited"</formula1>
    </dataValidation>
  </dataValidations>
  <pageMargins left="0" right="0" top="0" bottom="0" header="0" footer="0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Telephone Bill</vt:lpstr>
      <vt:lpstr>Details</vt:lpstr>
      <vt:lpstr>expense_cat_list</vt:lpstr>
      <vt:lpstr>facility_list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Dell</cp:lastModifiedBy>
  <cp:revision/>
  <dcterms:created xsi:type="dcterms:W3CDTF">2022-04-05T16:39:02Z</dcterms:created>
  <dcterms:modified xsi:type="dcterms:W3CDTF">2023-06-04T15:50:17Z</dcterms:modified>
  <cp:category/>
  <cp:contentStatus/>
</cp:coreProperties>
</file>